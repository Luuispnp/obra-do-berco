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BRA DO BERÇO BOA VIAGEM\EVENTOS DE ENTREGA DE ENXOVAIS\"/>
    </mc:Choice>
  </mc:AlternateContent>
  <xr:revisionPtr revIDLastSave="0" documentId="8_{63D4B86E-0ED5-4817-A613-6781311E747F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LISTA GESTANTE DO GOOGLE FORMS" sheetId="4" r:id="rId1"/>
    <sheet name="LISTA DE CADASTRO" sheetId="1" r:id="rId2"/>
    <sheet name="FIXA DE CADASTRO AUTOMÁTICA" sheetId="3" r:id="rId3"/>
    <sheet name="LISTA DE PRESENÇA" sheetId="5" r:id="rId4"/>
    <sheet name="LISTA DE PRESENÇA PARA ASSINAR" sheetId="6" r:id="rId5"/>
  </sheets>
  <definedNames>
    <definedName name="_xlnm.Print_Area" localSheetId="2">'FIXA DE CADASTRO AUTOMÁTICA'!$B$1:$E$28</definedName>
    <definedName name="_xlnm.Print_Area" localSheetId="1">'LISTA DE CADASTRO'!$A$1:$X$40</definedName>
    <definedName name="_xlnm.Print_Area" localSheetId="3">'LISTA DE PRESENÇA'!$A$1:$H$44</definedName>
    <definedName name="_xlnm.Print_Area" localSheetId="4">'LISTA DE PRESENÇA PARA ASSINAR'!$A$1:$E$44</definedName>
    <definedName name="_xlnm.Print_Titles" localSheetId="1">'LISTA DE CADASTRO'!$A:$C,'LISTA DE CADASTRO'!$1:$1</definedName>
    <definedName name="_xlnm.Print_Titles" localSheetId="3">'LISTA DE PRESENÇA'!$1:$4</definedName>
    <definedName name="_xlnm.Print_Titles" localSheetId="4">'LISTA DE PRESENÇA PARA ASSINAR'!$1:$4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W2" i="1"/>
  <c r="W4" i="1"/>
  <c r="C5" i="4"/>
  <c r="C6" i="4" s="1"/>
  <c r="C4" i="4"/>
  <c r="N5" i="1"/>
  <c r="P5" i="1"/>
  <c r="N6" i="1"/>
  <c r="C4" i="1"/>
  <c r="E4" i="1"/>
  <c r="H4" i="1"/>
  <c r="G4" i="1"/>
  <c r="O4" i="1"/>
  <c r="L4" i="1"/>
  <c r="K4" i="1"/>
  <c r="U5" i="1"/>
  <c r="U4" i="1"/>
  <c r="S4" i="1"/>
  <c r="B3" i="1"/>
  <c r="C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W3" i="1"/>
  <c r="S3" i="1"/>
  <c r="R3" i="1"/>
  <c r="R4" i="1"/>
  <c r="Q3" i="1"/>
  <c r="Q4" i="1"/>
  <c r="Q5" i="1"/>
  <c r="P3" i="1"/>
  <c r="P4" i="1"/>
  <c r="O3" i="1"/>
  <c r="N3" i="1"/>
  <c r="N4" i="1"/>
  <c r="M3" i="1"/>
  <c r="L3" i="1"/>
  <c r="K3" i="1"/>
  <c r="J3" i="1"/>
  <c r="J4" i="1"/>
  <c r="I3" i="1"/>
  <c r="I4" i="1"/>
  <c r="H3" i="1"/>
  <c r="G3" i="1"/>
  <c r="F3" i="1"/>
  <c r="F4" i="1"/>
  <c r="F5" i="1"/>
  <c r="E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U3" i="1"/>
  <c r="V3" i="1"/>
  <c r="D3" i="1"/>
  <c r="B4" i="1"/>
  <c r="B5" i="1"/>
  <c r="A42" i="1"/>
  <c r="A43" i="1" s="1"/>
  <c r="A44" i="1" s="1"/>
  <c r="A45" i="1" s="1"/>
  <c r="A46" i="1" s="1"/>
  <c r="A47" i="1" s="1"/>
  <c r="A48" i="1" s="1"/>
  <c r="A49" i="1" s="1"/>
  <c r="A50" i="1" s="1"/>
  <c r="X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D5" i="1" l="1"/>
  <c r="D4" i="1"/>
  <c r="E5" i="1"/>
  <c r="I5" i="1"/>
  <c r="J5" i="1"/>
  <c r="D8" i="6" s="1"/>
  <c r="M5" i="1"/>
  <c r="M4" i="1"/>
  <c r="O6" i="1"/>
  <c r="O5" i="1"/>
  <c r="Q6" i="1"/>
  <c r="R6" i="1"/>
  <c r="R5" i="1"/>
  <c r="V5" i="1"/>
  <c r="V4" i="1"/>
  <c r="J6" i="1"/>
  <c r="F6" i="1"/>
  <c r="F9" i="5" s="1"/>
  <c r="C7" i="4"/>
  <c r="B6" i="1"/>
  <c r="D6" i="1"/>
  <c r="V6" i="1"/>
  <c r="D6" i="6"/>
  <c r="D7" i="6"/>
  <c r="D9" i="6"/>
  <c r="D44" i="6"/>
  <c r="D5" i="6"/>
  <c r="B6" i="6"/>
  <c r="B7" i="6"/>
  <c r="B44" i="6"/>
  <c r="B5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6" i="6"/>
  <c r="F8" i="5"/>
  <c r="E8" i="5"/>
  <c r="F5" i="5"/>
  <c r="F6" i="5"/>
  <c r="F7" i="5"/>
  <c r="G5" i="1" l="1"/>
  <c r="G8" i="5" s="1"/>
  <c r="H5" i="1"/>
  <c r="I6" i="1"/>
  <c r="C5" i="1"/>
  <c r="B8" i="6" s="1"/>
  <c r="K5" i="1"/>
  <c r="L5" i="1"/>
  <c r="M6" i="1"/>
  <c r="N7" i="1"/>
  <c r="O7" i="1"/>
  <c r="P6" i="1"/>
  <c r="Q7" i="1"/>
  <c r="R7" i="1"/>
  <c r="W5" i="1"/>
  <c r="U6" i="1"/>
  <c r="S5" i="1"/>
  <c r="J7" i="1"/>
  <c r="D10" i="6" s="1"/>
  <c r="F7" i="1"/>
  <c r="F10" i="5" s="1"/>
  <c r="C8" i="4"/>
  <c r="B7" i="1"/>
  <c r="D7" i="1"/>
  <c r="D10" i="5" s="1"/>
  <c r="E6" i="1"/>
  <c r="E9" i="5" s="1"/>
  <c r="V7" i="1"/>
  <c r="C7" i="5"/>
  <c r="H6" i="5"/>
  <c r="H7" i="5"/>
  <c r="H8" i="5"/>
  <c r="H9" i="5"/>
  <c r="G6" i="5"/>
  <c r="G7" i="5"/>
  <c r="E6" i="5"/>
  <c r="E7" i="5"/>
  <c r="D6" i="5"/>
  <c r="D7" i="5"/>
  <c r="D8" i="5"/>
  <c r="D9" i="5"/>
  <c r="C6" i="5"/>
  <c r="B6" i="5"/>
  <c r="B7" i="5"/>
  <c r="B8" i="5"/>
  <c r="B9" i="5"/>
  <c r="B10" i="5"/>
  <c r="H5" i="5"/>
  <c r="G5" i="5"/>
  <c r="E5" i="5"/>
  <c r="D5" i="5"/>
  <c r="C5" i="5"/>
  <c r="B5" i="5"/>
  <c r="G6" i="1" l="1"/>
  <c r="G9" i="5" s="1"/>
  <c r="H6" i="1"/>
  <c r="I7" i="1"/>
  <c r="C8" i="5"/>
  <c r="C6" i="1"/>
  <c r="K6" i="1"/>
  <c r="L6" i="1"/>
  <c r="M7" i="1"/>
  <c r="N8" i="1"/>
  <c r="O8" i="1"/>
  <c r="P7" i="1"/>
  <c r="Q8" i="1"/>
  <c r="R8" i="1"/>
  <c r="W6" i="1"/>
  <c r="U7" i="1"/>
  <c r="S6" i="1"/>
  <c r="J8" i="1"/>
  <c r="H10" i="5"/>
  <c r="F8" i="1"/>
  <c r="F11" i="5" s="1"/>
  <c r="C9" i="4"/>
  <c r="B8" i="1"/>
  <c r="B11" i="5" s="1"/>
  <c r="E7" i="1"/>
  <c r="E10" i="5" s="1"/>
  <c r="D8" i="1"/>
  <c r="D11" i="5" s="1"/>
  <c r="V8" i="1"/>
  <c r="G7" i="1" l="1"/>
  <c r="G10" i="5" s="1"/>
  <c r="H7" i="1"/>
  <c r="I8" i="1"/>
  <c r="C7" i="1"/>
  <c r="B9" i="6"/>
  <c r="C9" i="5"/>
  <c r="K7" i="1"/>
  <c r="L7" i="1"/>
  <c r="M8" i="1"/>
  <c r="N9" i="1"/>
  <c r="O9" i="1"/>
  <c r="P8" i="1"/>
  <c r="Q9" i="1"/>
  <c r="R9" i="1"/>
  <c r="W7" i="1"/>
  <c r="U8" i="1"/>
  <c r="S7" i="1"/>
  <c r="D11" i="6"/>
  <c r="H11" i="5"/>
  <c r="J9" i="1"/>
  <c r="F9" i="1"/>
  <c r="F12" i="5" s="1"/>
  <c r="C10" i="4"/>
  <c r="B9" i="1"/>
  <c r="B12" i="5" s="1"/>
  <c r="D9" i="1"/>
  <c r="D12" i="5" s="1"/>
  <c r="E8" i="1"/>
  <c r="E11" i="5" s="1"/>
  <c r="V9" i="1"/>
  <c r="G8" i="1" l="1"/>
  <c r="G11" i="5" s="1"/>
  <c r="H8" i="1"/>
  <c r="I9" i="1"/>
  <c r="B10" i="6"/>
  <c r="C10" i="5"/>
  <c r="C8" i="1"/>
  <c r="K8" i="1"/>
  <c r="L8" i="1"/>
  <c r="M9" i="1"/>
  <c r="N10" i="1"/>
  <c r="O10" i="1"/>
  <c r="P9" i="1"/>
  <c r="Q10" i="1"/>
  <c r="R10" i="1"/>
  <c r="W8" i="1"/>
  <c r="U9" i="1"/>
  <c r="S8" i="1"/>
  <c r="J10" i="1"/>
  <c r="D12" i="6"/>
  <c r="H12" i="5"/>
  <c r="F10" i="1"/>
  <c r="F13" i="5" s="1"/>
  <c r="C11" i="4"/>
  <c r="B10" i="1"/>
  <c r="B13" i="5" s="1"/>
  <c r="E9" i="1"/>
  <c r="E12" i="5" s="1"/>
  <c r="D10" i="1"/>
  <c r="D13" i="5" s="1"/>
  <c r="V10" i="1"/>
  <c r="G9" i="1" l="1"/>
  <c r="G12" i="5" s="1"/>
  <c r="H9" i="1"/>
  <c r="I10" i="1"/>
  <c r="C9" i="1"/>
  <c r="C11" i="5"/>
  <c r="B11" i="6"/>
  <c r="K9" i="1"/>
  <c r="L9" i="1"/>
  <c r="M10" i="1"/>
  <c r="N11" i="1"/>
  <c r="O11" i="1"/>
  <c r="P10" i="1"/>
  <c r="Q11" i="1"/>
  <c r="R11" i="1"/>
  <c r="W9" i="1"/>
  <c r="U10" i="1"/>
  <c r="S9" i="1"/>
  <c r="J11" i="1"/>
  <c r="D13" i="6"/>
  <c r="H13" i="5"/>
  <c r="F11" i="1"/>
  <c r="F14" i="5" s="1"/>
  <c r="B11" i="1"/>
  <c r="B14" i="5" s="1"/>
  <c r="C12" i="4"/>
  <c r="E10" i="1"/>
  <c r="E13" i="5" s="1"/>
  <c r="D11" i="1"/>
  <c r="D14" i="5" s="1"/>
  <c r="V11" i="1"/>
  <c r="B26" i="3"/>
  <c r="A3" i="4"/>
  <c r="G10" i="1" l="1"/>
  <c r="G13" i="5" s="1"/>
  <c r="H10" i="1"/>
  <c r="I11" i="1"/>
  <c r="C10" i="1"/>
  <c r="B12" i="6"/>
  <c r="C12" i="5"/>
  <c r="K10" i="1"/>
  <c r="L10" i="1"/>
  <c r="M11" i="1"/>
  <c r="N12" i="1"/>
  <c r="O12" i="1"/>
  <c r="P11" i="1"/>
  <c r="Q12" i="1"/>
  <c r="R12" i="1"/>
  <c r="W10" i="1"/>
  <c r="U11" i="1"/>
  <c r="S10" i="1"/>
  <c r="D14" i="6"/>
  <c r="H14" i="5"/>
  <c r="J12" i="1"/>
  <c r="F12" i="1"/>
  <c r="F15" i="5" s="1"/>
  <c r="C13" i="4"/>
  <c r="B12" i="1"/>
  <c r="B15" i="5" s="1"/>
  <c r="D12" i="1"/>
  <c r="D15" i="5" s="1"/>
  <c r="E11" i="1"/>
  <c r="E14" i="5" s="1"/>
  <c r="V12" i="1"/>
  <c r="G11" i="1" l="1"/>
  <c r="G14" i="5" s="1"/>
  <c r="H11" i="1"/>
  <c r="I12" i="1"/>
  <c r="C11" i="1"/>
  <c r="C13" i="5"/>
  <c r="B13" i="6"/>
  <c r="K11" i="1"/>
  <c r="L11" i="1"/>
  <c r="M12" i="1"/>
  <c r="N13" i="1"/>
  <c r="O13" i="1"/>
  <c r="P12" i="1"/>
  <c r="Q13" i="1"/>
  <c r="R13" i="1"/>
  <c r="W11" i="1"/>
  <c r="U12" i="1"/>
  <c r="S11" i="1"/>
  <c r="D15" i="6"/>
  <c r="H15" i="5"/>
  <c r="J13" i="1"/>
  <c r="F13" i="1"/>
  <c r="F16" i="5" s="1"/>
  <c r="C14" i="4"/>
  <c r="B13" i="1"/>
  <c r="B16" i="5" s="1"/>
  <c r="E12" i="1"/>
  <c r="E15" i="5" s="1"/>
  <c r="D13" i="1"/>
  <c r="D16" i="5" s="1"/>
  <c r="V13" i="1"/>
  <c r="G12" i="1" l="1"/>
  <c r="G15" i="5" s="1"/>
  <c r="H12" i="1"/>
  <c r="I13" i="1"/>
  <c r="C12" i="1"/>
  <c r="C14" i="5"/>
  <c r="B14" i="6"/>
  <c r="K12" i="1"/>
  <c r="L12" i="1"/>
  <c r="M13" i="1"/>
  <c r="N14" i="1"/>
  <c r="O14" i="1"/>
  <c r="P13" i="1"/>
  <c r="Q14" i="1"/>
  <c r="R14" i="1"/>
  <c r="W12" i="1"/>
  <c r="U13" i="1"/>
  <c r="S12" i="1"/>
  <c r="D16" i="6"/>
  <c r="H16" i="5"/>
  <c r="J14" i="1"/>
  <c r="F14" i="1"/>
  <c r="F17" i="5" s="1"/>
  <c r="C15" i="4"/>
  <c r="B14" i="1"/>
  <c r="B17" i="5" s="1"/>
  <c r="D14" i="1"/>
  <c r="D17" i="5" s="1"/>
  <c r="E13" i="1"/>
  <c r="E16" i="5" s="1"/>
  <c r="V14" i="1"/>
  <c r="A3" i="1"/>
  <c r="A4" i="1" s="1"/>
  <c r="A5" i="1" s="1"/>
  <c r="A6" i="1" s="1"/>
  <c r="A7" i="1" s="1"/>
  <c r="A8" i="1" s="1"/>
  <c r="A9" i="1" s="1"/>
  <c r="A10" i="1" s="1"/>
  <c r="G13" i="1" l="1"/>
  <c r="G16" i="5" s="1"/>
  <c r="H13" i="1"/>
  <c r="I14" i="1"/>
  <c r="C13" i="1"/>
  <c r="B15" i="6"/>
  <c r="C15" i="5"/>
  <c r="K13" i="1"/>
  <c r="L13" i="1"/>
  <c r="M14" i="1"/>
  <c r="N15" i="1"/>
  <c r="O15" i="1"/>
  <c r="P14" i="1"/>
  <c r="Q15" i="1"/>
  <c r="R15" i="1"/>
  <c r="W13" i="1"/>
  <c r="U14" i="1"/>
  <c r="S13" i="1"/>
  <c r="J15" i="1"/>
  <c r="D17" i="6"/>
  <c r="H17" i="5"/>
  <c r="F15" i="1"/>
  <c r="F18" i="5" s="1"/>
  <c r="C16" i="4"/>
  <c r="B15" i="1"/>
  <c r="B18" i="5" s="1"/>
  <c r="E14" i="1"/>
  <c r="E17" i="5" s="1"/>
  <c r="D15" i="1"/>
  <c r="V15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G14" i="1" l="1"/>
  <c r="G17" i="5" s="1"/>
  <c r="H14" i="1"/>
  <c r="I15" i="1"/>
  <c r="C14" i="1"/>
  <c r="C16" i="5"/>
  <c r="B16" i="6"/>
  <c r="K14" i="1"/>
  <c r="L14" i="1"/>
  <c r="M15" i="1"/>
  <c r="N16" i="1"/>
  <c r="O16" i="1"/>
  <c r="P15" i="1"/>
  <c r="Q16" i="1"/>
  <c r="R16" i="1"/>
  <c r="W14" i="1"/>
  <c r="U15" i="1"/>
  <c r="S14" i="1"/>
  <c r="D18" i="6"/>
  <c r="H18" i="5"/>
  <c r="J16" i="1"/>
  <c r="F16" i="1"/>
  <c r="F19" i="5" s="1"/>
  <c r="C17" i="4"/>
  <c r="B16" i="1"/>
  <c r="B19" i="5" s="1"/>
  <c r="D18" i="5"/>
  <c r="D16" i="1"/>
  <c r="D19" i="5" s="1"/>
  <c r="E15" i="1"/>
  <c r="E18" i="5" s="1"/>
  <c r="V16" i="1"/>
  <c r="G15" i="1" l="1"/>
  <c r="G18" i="5" s="1"/>
  <c r="H15" i="1"/>
  <c r="I16" i="1"/>
  <c r="C15" i="1"/>
  <c r="B17" i="6"/>
  <c r="C17" i="5"/>
  <c r="K15" i="1"/>
  <c r="L15" i="1"/>
  <c r="M16" i="1"/>
  <c r="N17" i="1"/>
  <c r="O17" i="1"/>
  <c r="P16" i="1"/>
  <c r="Q17" i="1"/>
  <c r="R17" i="1"/>
  <c r="W15" i="1"/>
  <c r="U16" i="1"/>
  <c r="S15" i="1"/>
  <c r="J17" i="1"/>
  <c r="D19" i="6"/>
  <c r="H19" i="5"/>
  <c r="F17" i="1"/>
  <c r="F20" i="5" s="1"/>
  <c r="C18" i="4"/>
  <c r="B17" i="1"/>
  <c r="B20" i="5" s="1"/>
  <c r="D17" i="1"/>
  <c r="D20" i="5" s="1"/>
  <c r="E16" i="1"/>
  <c r="E19" i="5" s="1"/>
  <c r="V17" i="1"/>
  <c r="G16" i="1" l="1"/>
  <c r="G19" i="5" s="1"/>
  <c r="H16" i="1"/>
  <c r="I17" i="1"/>
  <c r="B18" i="6"/>
  <c r="C18" i="5"/>
  <c r="C16" i="1"/>
  <c r="K16" i="1"/>
  <c r="L16" i="1"/>
  <c r="M17" i="1"/>
  <c r="N18" i="1"/>
  <c r="O18" i="1"/>
  <c r="P17" i="1"/>
  <c r="Q18" i="1"/>
  <c r="R18" i="1"/>
  <c r="W16" i="1"/>
  <c r="U17" i="1"/>
  <c r="S16" i="1"/>
  <c r="J18" i="1"/>
  <c r="D20" i="6"/>
  <c r="H20" i="5"/>
  <c r="F18" i="1"/>
  <c r="F21" i="5" s="1"/>
  <c r="C19" i="4"/>
  <c r="B18" i="1"/>
  <c r="B21" i="5" s="1"/>
  <c r="D18" i="1"/>
  <c r="D21" i="5" s="1"/>
  <c r="E17" i="1"/>
  <c r="E20" i="5" s="1"/>
  <c r="V18" i="1"/>
  <c r="G17" i="1" l="1"/>
  <c r="G20" i="5" s="1"/>
  <c r="H17" i="1"/>
  <c r="I18" i="1"/>
  <c r="C17" i="1"/>
  <c r="B19" i="6"/>
  <c r="C19" i="5"/>
  <c r="K17" i="1"/>
  <c r="L17" i="1"/>
  <c r="M18" i="1"/>
  <c r="N19" i="1"/>
  <c r="O19" i="1"/>
  <c r="P18" i="1"/>
  <c r="Q19" i="1"/>
  <c r="R19" i="1"/>
  <c r="W17" i="1"/>
  <c r="U18" i="1"/>
  <c r="S17" i="1"/>
  <c r="J19" i="1"/>
  <c r="D21" i="6"/>
  <c r="H21" i="5"/>
  <c r="F19" i="1"/>
  <c r="F22" i="5" s="1"/>
  <c r="C20" i="4"/>
  <c r="B19" i="1"/>
  <c r="B22" i="5" s="1"/>
  <c r="E18" i="1"/>
  <c r="E21" i="5" s="1"/>
  <c r="D19" i="1"/>
  <c r="D22" i="5" s="1"/>
  <c r="V19" i="1"/>
  <c r="G18" i="1" l="1"/>
  <c r="G21" i="5" s="1"/>
  <c r="H18" i="1"/>
  <c r="I19" i="1"/>
  <c r="B20" i="6"/>
  <c r="C20" i="5"/>
  <c r="C18" i="1"/>
  <c r="K18" i="1"/>
  <c r="L18" i="1"/>
  <c r="M19" i="1"/>
  <c r="N20" i="1"/>
  <c r="O20" i="1"/>
  <c r="P19" i="1"/>
  <c r="Q20" i="1"/>
  <c r="R20" i="1"/>
  <c r="W18" i="1"/>
  <c r="U19" i="1"/>
  <c r="S18" i="1"/>
  <c r="J20" i="1"/>
  <c r="D22" i="6"/>
  <c r="H22" i="5"/>
  <c r="F20" i="1"/>
  <c r="F23" i="5" s="1"/>
  <c r="C21" i="4"/>
  <c r="B20" i="1"/>
  <c r="B23" i="5" s="1"/>
  <c r="E19" i="1"/>
  <c r="E22" i="5" s="1"/>
  <c r="D20" i="1"/>
  <c r="D23" i="5" s="1"/>
  <c r="V20" i="1"/>
  <c r="G19" i="1" l="1"/>
  <c r="G22" i="5" s="1"/>
  <c r="H19" i="1"/>
  <c r="I20" i="1"/>
  <c r="C19" i="1"/>
  <c r="B21" i="6"/>
  <c r="C21" i="5"/>
  <c r="K19" i="1"/>
  <c r="L19" i="1"/>
  <c r="M20" i="1"/>
  <c r="N21" i="1"/>
  <c r="O21" i="1"/>
  <c r="P20" i="1"/>
  <c r="Q21" i="1"/>
  <c r="R21" i="1"/>
  <c r="W19" i="1"/>
  <c r="U20" i="1"/>
  <c r="S19" i="1"/>
  <c r="D23" i="6"/>
  <c r="H23" i="5"/>
  <c r="J21" i="1"/>
  <c r="F21" i="1"/>
  <c r="F24" i="5" s="1"/>
  <c r="C22" i="4"/>
  <c r="B21" i="1"/>
  <c r="B24" i="5" s="1"/>
  <c r="D21" i="1"/>
  <c r="D24" i="5" s="1"/>
  <c r="E20" i="1"/>
  <c r="E23" i="5" s="1"/>
  <c r="V21" i="1"/>
  <c r="G20" i="1" l="1"/>
  <c r="G23" i="5" s="1"/>
  <c r="H20" i="1"/>
  <c r="I21" i="1"/>
  <c r="B22" i="6"/>
  <c r="C22" i="5"/>
  <c r="C20" i="1"/>
  <c r="K20" i="1"/>
  <c r="L20" i="1"/>
  <c r="M21" i="1"/>
  <c r="N22" i="1"/>
  <c r="O22" i="1"/>
  <c r="P21" i="1"/>
  <c r="Q22" i="1"/>
  <c r="R22" i="1"/>
  <c r="W20" i="1"/>
  <c r="U21" i="1"/>
  <c r="S20" i="1"/>
  <c r="D24" i="6"/>
  <c r="H24" i="5"/>
  <c r="J22" i="1"/>
  <c r="F22" i="1"/>
  <c r="F25" i="5" s="1"/>
  <c r="C23" i="4"/>
  <c r="B22" i="1"/>
  <c r="B25" i="5" s="1"/>
  <c r="E21" i="1"/>
  <c r="E24" i="5" s="1"/>
  <c r="D22" i="1"/>
  <c r="D25" i="5" s="1"/>
  <c r="V22" i="1"/>
  <c r="G21" i="1" l="1"/>
  <c r="G24" i="5" s="1"/>
  <c r="H21" i="1"/>
  <c r="I22" i="1"/>
  <c r="B23" i="6"/>
  <c r="C23" i="5"/>
  <c r="C21" i="1"/>
  <c r="K21" i="1"/>
  <c r="L21" i="1"/>
  <c r="M22" i="1"/>
  <c r="N23" i="1"/>
  <c r="O23" i="1"/>
  <c r="P22" i="1"/>
  <c r="Q23" i="1"/>
  <c r="R23" i="1"/>
  <c r="W21" i="1"/>
  <c r="U22" i="1"/>
  <c r="S21" i="1"/>
  <c r="D25" i="6"/>
  <c r="H25" i="5"/>
  <c r="J23" i="1"/>
  <c r="F23" i="1"/>
  <c r="F26" i="5" s="1"/>
  <c r="C24" i="4"/>
  <c r="B23" i="1"/>
  <c r="B26" i="5" s="1"/>
  <c r="D23" i="1"/>
  <c r="D26" i="5" s="1"/>
  <c r="E22" i="1"/>
  <c r="E25" i="5" s="1"/>
  <c r="V23" i="1"/>
  <c r="G22" i="1" l="1"/>
  <c r="G25" i="5" s="1"/>
  <c r="H22" i="1"/>
  <c r="I23" i="1"/>
  <c r="C22" i="1"/>
  <c r="B24" i="6"/>
  <c r="C24" i="5"/>
  <c r="K22" i="1"/>
  <c r="L22" i="1"/>
  <c r="M23" i="1"/>
  <c r="N24" i="1"/>
  <c r="O24" i="1"/>
  <c r="P23" i="1"/>
  <c r="Q24" i="1"/>
  <c r="R24" i="1"/>
  <c r="W22" i="1"/>
  <c r="U23" i="1"/>
  <c r="S22" i="1"/>
  <c r="D26" i="6"/>
  <c r="H26" i="5"/>
  <c r="J24" i="1"/>
  <c r="F24" i="1"/>
  <c r="F27" i="5" s="1"/>
  <c r="C25" i="4"/>
  <c r="B24" i="1"/>
  <c r="B27" i="5" s="1"/>
  <c r="E23" i="1"/>
  <c r="E26" i="5" s="1"/>
  <c r="D24" i="1"/>
  <c r="V24" i="1"/>
  <c r="D27" i="5" l="1"/>
  <c r="G23" i="1"/>
  <c r="G26" i="5" s="1"/>
  <c r="H23" i="1"/>
  <c r="I24" i="1"/>
  <c r="C25" i="5"/>
  <c r="B25" i="6"/>
  <c r="C23" i="1"/>
  <c r="K23" i="1"/>
  <c r="L23" i="1"/>
  <c r="M24" i="1"/>
  <c r="N25" i="1"/>
  <c r="O25" i="1"/>
  <c r="P24" i="1"/>
  <c r="Q25" i="1"/>
  <c r="R25" i="1"/>
  <c r="W23" i="1"/>
  <c r="U24" i="1"/>
  <c r="S23" i="1"/>
  <c r="J25" i="1"/>
  <c r="D27" i="6"/>
  <c r="H27" i="5"/>
  <c r="F25" i="1"/>
  <c r="F28" i="5" s="1"/>
  <c r="C26" i="4"/>
  <c r="B25" i="1"/>
  <c r="B28" i="5" s="1"/>
  <c r="D25" i="1"/>
  <c r="E24" i="1"/>
  <c r="V25" i="1"/>
  <c r="E27" i="5" l="1"/>
  <c r="G24" i="1"/>
  <c r="H24" i="1"/>
  <c r="I25" i="1"/>
  <c r="C24" i="1"/>
  <c r="B26" i="6"/>
  <c r="C26" i="5"/>
  <c r="K24" i="1"/>
  <c r="L24" i="1"/>
  <c r="M25" i="1"/>
  <c r="N26" i="1"/>
  <c r="O26" i="1"/>
  <c r="P25" i="1"/>
  <c r="Q26" i="1"/>
  <c r="R26" i="1"/>
  <c r="W24" i="1"/>
  <c r="U25" i="1"/>
  <c r="S24" i="1"/>
  <c r="D28" i="6"/>
  <c r="H28" i="5"/>
  <c r="J26" i="1"/>
  <c r="F26" i="1"/>
  <c r="F29" i="5" s="1"/>
  <c r="C27" i="4"/>
  <c r="B26" i="1"/>
  <c r="B29" i="5" s="1"/>
  <c r="D28" i="5"/>
  <c r="E25" i="1"/>
  <c r="D26" i="1"/>
  <c r="V26" i="1"/>
  <c r="G27" i="5" l="1"/>
  <c r="G25" i="1"/>
  <c r="H25" i="1"/>
  <c r="I26" i="1"/>
  <c r="B27" i="6"/>
  <c r="C27" i="5"/>
  <c r="C25" i="1"/>
  <c r="K25" i="1"/>
  <c r="L25" i="1"/>
  <c r="M26" i="1"/>
  <c r="N27" i="1"/>
  <c r="O27" i="1"/>
  <c r="P26" i="1"/>
  <c r="Q27" i="1"/>
  <c r="R27" i="1"/>
  <c r="W25" i="1"/>
  <c r="U26" i="1"/>
  <c r="S25" i="1"/>
  <c r="D29" i="6"/>
  <c r="H29" i="5"/>
  <c r="J27" i="1"/>
  <c r="F27" i="1"/>
  <c r="F30" i="5" s="1"/>
  <c r="C28" i="4"/>
  <c r="B27" i="1"/>
  <c r="B30" i="5" s="1"/>
  <c r="D27" i="1"/>
  <c r="E28" i="5"/>
  <c r="D29" i="5"/>
  <c r="E26" i="1"/>
  <c r="V27" i="1"/>
  <c r="G28" i="5" l="1"/>
  <c r="G26" i="1"/>
  <c r="H26" i="1"/>
  <c r="I27" i="1"/>
  <c r="C26" i="1"/>
  <c r="B28" i="6"/>
  <c r="C28" i="5"/>
  <c r="K26" i="1"/>
  <c r="L26" i="1"/>
  <c r="M27" i="1"/>
  <c r="N28" i="1"/>
  <c r="O28" i="1"/>
  <c r="P27" i="1"/>
  <c r="Q28" i="1"/>
  <c r="R28" i="1"/>
  <c r="W26" i="1"/>
  <c r="U27" i="1"/>
  <c r="S26" i="1"/>
  <c r="D30" i="6"/>
  <c r="H30" i="5"/>
  <c r="J28" i="1"/>
  <c r="F28" i="1"/>
  <c r="F31" i="5" s="1"/>
  <c r="C29" i="4"/>
  <c r="B28" i="1"/>
  <c r="B31" i="5" s="1"/>
  <c r="E29" i="5"/>
  <c r="E27" i="1"/>
  <c r="D28" i="1"/>
  <c r="D30" i="5"/>
  <c r="V28" i="1"/>
  <c r="G29" i="5" l="1"/>
  <c r="G27" i="1"/>
  <c r="H27" i="1"/>
  <c r="I28" i="1"/>
  <c r="C29" i="5"/>
  <c r="B29" i="6"/>
  <c r="C27" i="1"/>
  <c r="K27" i="1"/>
  <c r="L27" i="1"/>
  <c r="M28" i="1"/>
  <c r="N29" i="1"/>
  <c r="O29" i="1"/>
  <c r="P28" i="1"/>
  <c r="Q29" i="1"/>
  <c r="R29" i="1"/>
  <c r="W27" i="1"/>
  <c r="U28" i="1"/>
  <c r="S27" i="1"/>
  <c r="D31" i="6"/>
  <c r="H31" i="5"/>
  <c r="J29" i="1"/>
  <c r="F29" i="1"/>
  <c r="F32" i="5" s="1"/>
  <c r="C30" i="4"/>
  <c r="B29" i="1"/>
  <c r="B32" i="5" s="1"/>
  <c r="E28" i="1"/>
  <c r="E30" i="5"/>
  <c r="D31" i="5"/>
  <c r="D29" i="1"/>
  <c r="V29" i="1"/>
  <c r="G28" i="1" l="1"/>
  <c r="G30" i="5"/>
  <c r="H28" i="1"/>
  <c r="I29" i="1"/>
  <c r="C30" i="5"/>
  <c r="B30" i="6"/>
  <c r="C28" i="1"/>
  <c r="K28" i="1"/>
  <c r="L28" i="1"/>
  <c r="M29" i="1"/>
  <c r="N30" i="1"/>
  <c r="O30" i="1"/>
  <c r="P29" i="1"/>
  <c r="Q30" i="1"/>
  <c r="R30" i="1"/>
  <c r="W28" i="1"/>
  <c r="U29" i="1"/>
  <c r="S28" i="1"/>
  <c r="J30" i="1"/>
  <c r="D32" i="6"/>
  <c r="H32" i="5"/>
  <c r="F30" i="1"/>
  <c r="F33" i="5" s="1"/>
  <c r="C31" i="4"/>
  <c r="B30" i="1"/>
  <c r="B33" i="5" s="1"/>
  <c r="E31" i="5"/>
  <c r="D30" i="1"/>
  <c r="D32" i="5"/>
  <c r="E29" i="1"/>
  <c r="V30" i="1"/>
  <c r="G31" i="5" l="1"/>
  <c r="G29" i="1"/>
  <c r="H29" i="1"/>
  <c r="I30" i="1"/>
  <c r="B31" i="6"/>
  <c r="C31" i="5"/>
  <c r="C29" i="1"/>
  <c r="K29" i="1"/>
  <c r="L29" i="1"/>
  <c r="M30" i="1"/>
  <c r="N31" i="1"/>
  <c r="O31" i="1"/>
  <c r="P30" i="1"/>
  <c r="Q31" i="1"/>
  <c r="R31" i="1"/>
  <c r="W29" i="1"/>
  <c r="U30" i="1"/>
  <c r="S29" i="1"/>
  <c r="J31" i="1"/>
  <c r="D33" i="6"/>
  <c r="H33" i="5"/>
  <c r="F31" i="1"/>
  <c r="F34" i="5" s="1"/>
  <c r="C32" i="4"/>
  <c r="B31" i="1"/>
  <c r="B34" i="5" s="1"/>
  <c r="D33" i="5"/>
  <c r="E32" i="5"/>
  <c r="E30" i="1"/>
  <c r="D31" i="1"/>
  <c r="V31" i="1"/>
  <c r="G32" i="5" l="1"/>
  <c r="G30" i="1"/>
  <c r="H30" i="1"/>
  <c r="I31" i="1"/>
  <c r="C32" i="5"/>
  <c r="B32" i="6"/>
  <c r="C30" i="1"/>
  <c r="K30" i="1"/>
  <c r="L30" i="1"/>
  <c r="M31" i="1"/>
  <c r="N32" i="1"/>
  <c r="O32" i="1"/>
  <c r="P31" i="1"/>
  <c r="Q32" i="1"/>
  <c r="R32" i="1"/>
  <c r="W30" i="1"/>
  <c r="U31" i="1"/>
  <c r="S30" i="1"/>
  <c r="D34" i="6"/>
  <c r="H34" i="5"/>
  <c r="J32" i="1"/>
  <c r="F32" i="1"/>
  <c r="F35" i="5" s="1"/>
  <c r="C33" i="4"/>
  <c r="B32" i="1"/>
  <c r="B35" i="5" s="1"/>
  <c r="E31" i="1"/>
  <c r="D32" i="1"/>
  <c r="E33" i="5"/>
  <c r="D34" i="5"/>
  <c r="V32" i="1"/>
  <c r="G31" i="1" l="1"/>
  <c r="G33" i="5"/>
  <c r="H31" i="1"/>
  <c r="I32" i="1"/>
  <c r="B33" i="6"/>
  <c r="C33" i="5"/>
  <c r="C31" i="1"/>
  <c r="K31" i="1"/>
  <c r="L31" i="1"/>
  <c r="M32" i="1"/>
  <c r="N33" i="1"/>
  <c r="O33" i="1"/>
  <c r="P32" i="1"/>
  <c r="Q33" i="1"/>
  <c r="R33" i="1"/>
  <c r="W31" i="1"/>
  <c r="U32" i="1"/>
  <c r="S31" i="1"/>
  <c r="J33" i="1"/>
  <c r="D35" i="6"/>
  <c r="H35" i="5"/>
  <c r="F33" i="1"/>
  <c r="F36" i="5" s="1"/>
  <c r="C34" i="4"/>
  <c r="B33" i="1"/>
  <c r="B36" i="5" s="1"/>
  <c r="D33" i="1"/>
  <c r="E34" i="5"/>
  <c r="D35" i="5"/>
  <c r="E32" i="1"/>
  <c r="V33" i="1"/>
  <c r="G34" i="5" l="1"/>
  <c r="G32" i="1"/>
  <c r="H32" i="1"/>
  <c r="I33" i="1"/>
  <c r="C32" i="1"/>
  <c r="B34" i="6"/>
  <c r="C34" i="5"/>
  <c r="K32" i="1"/>
  <c r="L32" i="1"/>
  <c r="M33" i="1"/>
  <c r="N34" i="1"/>
  <c r="O34" i="1"/>
  <c r="P33" i="1"/>
  <c r="Q34" i="1"/>
  <c r="R34" i="1"/>
  <c r="W32" i="1"/>
  <c r="U33" i="1"/>
  <c r="S32" i="1"/>
  <c r="D36" i="6"/>
  <c r="H36" i="5"/>
  <c r="J34" i="1"/>
  <c r="F34" i="1"/>
  <c r="F37" i="5" s="1"/>
  <c r="C35" i="4"/>
  <c r="B34" i="1"/>
  <c r="B37" i="5" s="1"/>
  <c r="E33" i="1"/>
  <c r="D36" i="5"/>
  <c r="E35" i="5"/>
  <c r="D34" i="1"/>
  <c r="V34" i="1"/>
  <c r="G33" i="1" l="1"/>
  <c r="G35" i="5"/>
  <c r="H33" i="1"/>
  <c r="I34" i="1"/>
  <c r="B35" i="6"/>
  <c r="C35" i="5"/>
  <c r="C33" i="1"/>
  <c r="K33" i="1"/>
  <c r="L33" i="1"/>
  <c r="M34" i="1"/>
  <c r="N35" i="1"/>
  <c r="O35" i="1"/>
  <c r="P34" i="1"/>
  <c r="Q35" i="1"/>
  <c r="R35" i="1"/>
  <c r="W33" i="1"/>
  <c r="U34" i="1"/>
  <c r="S33" i="1"/>
  <c r="D37" i="6"/>
  <c r="H37" i="5"/>
  <c r="J35" i="1"/>
  <c r="F35" i="1"/>
  <c r="F38" i="5" s="1"/>
  <c r="C36" i="4"/>
  <c r="B35" i="1"/>
  <c r="B38" i="5" s="1"/>
  <c r="E34" i="1"/>
  <c r="D35" i="1"/>
  <c r="D37" i="5"/>
  <c r="E36" i="5"/>
  <c r="V35" i="1"/>
  <c r="G36" i="5" l="1"/>
  <c r="G34" i="1"/>
  <c r="H34" i="1"/>
  <c r="I35" i="1"/>
  <c r="B36" i="6"/>
  <c r="C36" i="5"/>
  <c r="C34" i="1"/>
  <c r="K34" i="1"/>
  <c r="L34" i="1"/>
  <c r="M35" i="1"/>
  <c r="N36" i="1"/>
  <c r="O36" i="1"/>
  <c r="P35" i="1"/>
  <c r="Q36" i="1"/>
  <c r="R36" i="1"/>
  <c r="W34" i="1"/>
  <c r="U35" i="1"/>
  <c r="S34" i="1"/>
  <c r="J36" i="1"/>
  <c r="D38" i="6"/>
  <c r="H38" i="5"/>
  <c r="F36" i="1"/>
  <c r="F39" i="5" s="1"/>
  <c r="C37" i="4"/>
  <c r="B36" i="1"/>
  <c r="B39" i="5" s="1"/>
  <c r="E37" i="5"/>
  <c r="E35" i="1"/>
  <c r="D38" i="5"/>
  <c r="D36" i="1"/>
  <c r="V36" i="1"/>
  <c r="G37" i="5" l="1"/>
  <c r="G35" i="1"/>
  <c r="H35" i="1"/>
  <c r="I36" i="1"/>
  <c r="C35" i="1"/>
  <c r="B37" i="6"/>
  <c r="C37" i="5"/>
  <c r="K35" i="1"/>
  <c r="L35" i="1"/>
  <c r="M36" i="1"/>
  <c r="N37" i="1"/>
  <c r="O37" i="1"/>
  <c r="P36" i="1"/>
  <c r="Q37" i="1"/>
  <c r="R37" i="1"/>
  <c r="W35" i="1"/>
  <c r="U36" i="1"/>
  <c r="S35" i="1"/>
  <c r="J37" i="1"/>
  <c r="D39" i="6"/>
  <c r="H39" i="5"/>
  <c r="F37" i="1"/>
  <c r="F40" i="5" s="1"/>
  <c r="C38" i="4"/>
  <c r="B37" i="1"/>
  <c r="B40" i="5" s="1"/>
  <c r="E36" i="1"/>
  <c r="D39" i="5"/>
  <c r="E38" i="5"/>
  <c r="D37" i="1"/>
  <c r="V37" i="1"/>
  <c r="G36" i="1" l="1"/>
  <c r="G38" i="5"/>
  <c r="H36" i="1"/>
  <c r="I37" i="1"/>
  <c r="B38" i="6"/>
  <c r="C38" i="5"/>
  <c r="C36" i="1"/>
  <c r="K36" i="1"/>
  <c r="L36" i="1"/>
  <c r="M37" i="1"/>
  <c r="N38" i="1"/>
  <c r="O38" i="1"/>
  <c r="P37" i="1"/>
  <c r="Q38" i="1"/>
  <c r="R38" i="1"/>
  <c r="W36" i="1"/>
  <c r="U37" i="1"/>
  <c r="S36" i="1"/>
  <c r="D40" i="6"/>
  <c r="H40" i="5"/>
  <c r="J38" i="1"/>
  <c r="F38" i="1"/>
  <c r="F41" i="5" s="1"/>
  <c r="C39" i="4"/>
  <c r="B38" i="1"/>
  <c r="B41" i="5" s="1"/>
  <c r="E39" i="5"/>
  <c r="E37" i="1"/>
  <c r="D40" i="5"/>
  <c r="D38" i="1"/>
  <c r="D41" i="5" s="1"/>
  <c r="V38" i="1"/>
  <c r="G37" i="1" l="1"/>
  <c r="G39" i="5"/>
  <c r="H37" i="1"/>
  <c r="I38" i="1"/>
  <c r="C37" i="1"/>
  <c r="B39" i="6"/>
  <c r="C39" i="5"/>
  <c r="K37" i="1"/>
  <c r="L37" i="1"/>
  <c r="M38" i="1"/>
  <c r="N39" i="1"/>
  <c r="O39" i="1"/>
  <c r="P38" i="1"/>
  <c r="Q39" i="1"/>
  <c r="R39" i="1"/>
  <c r="W37" i="1"/>
  <c r="U38" i="1"/>
  <c r="S37" i="1"/>
  <c r="D41" i="6"/>
  <c r="H41" i="5"/>
  <c r="J39" i="1"/>
  <c r="F39" i="1"/>
  <c r="F42" i="5" s="1"/>
  <c r="C40" i="4"/>
  <c r="B39" i="1"/>
  <c r="B42" i="5" s="1"/>
  <c r="E38" i="1"/>
  <c r="E40" i="5"/>
  <c r="D39" i="1"/>
  <c r="V39" i="1"/>
  <c r="G38" i="1" l="1"/>
  <c r="G40" i="5"/>
  <c r="H38" i="1"/>
  <c r="I39" i="1"/>
  <c r="B40" i="6"/>
  <c r="C40" i="5"/>
  <c r="C38" i="1"/>
  <c r="K38" i="1"/>
  <c r="L38" i="1"/>
  <c r="M39" i="1"/>
  <c r="N40" i="1"/>
  <c r="O40" i="1"/>
  <c r="P39" i="1"/>
  <c r="Q40" i="1"/>
  <c r="R40" i="1"/>
  <c r="W38" i="1"/>
  <c r="U39" i="1"/>
  <c r="S38" i="1"/>
  <c r="J40" i="1"/>
  <c r="D42" i="6"/>
  <c r="H42" i="5"/>
  <c r="F40" i="1"/>
  <c r="F43" i="5" s="1"/>
  <c r="C41" i="4"/>
  <c r="B40" i="1"/>
  <c r="B43" i="5" s="1"/>
  <c r="D40" i="1"/>
  <c r="E41" i="5"/>
  <c r="D42" i="5"/>
  <c r="E39" i="1"/>
  <c r="V40" i="1"/>
  <c r="G41" i="5" l="1"/>
  <c r="G39" i="1"/>
  <c r="H39" i="1"/>
  <c r="I40" i="1"/>
  <c r="C39" i="1"/>
  <c r="B41" i="6"/>
  <c r="C41" i="5"/>
  <c r="K39" i="1"/>
  <c r="L39" i="1"/>
  <c r="M40" i="1"/>
  <c r="N41" i="1"/>
  <c r="O41" i="1"/>
  <c r="P40" i="1"/>
  <c r="Q41" i="1"/>
  <c r="R41" i="1"/>
  <c r="W39" i="1"/>
  <c r="U40" i="1"/>
  <c r="S39" i="1"/>
  <c r="D43" i="6"/>
  <c r="H43" i="5"/>
  <c r="J41" i="1"/>
  <c r="H44" i="5" s="1"/>
  <c r="F41" i="1"/>
  <c r="F44" i="5" s="1"/>
  <c r="C42" i="4"/>
  <c r="B41" i="1"/>
  <c r="B44" i="5" s="1"/>
  <c r="D41" i="1"/>
  <c r="D44" i="5" s="1"/>
  <c r="E42" i="5"/>
  <c r="D43" i="5"/>
  <c r="E40" i="1"/>
  <c r="V41" i="1"/>
  <c r="G40" i="1" l="1"/>
  <c r="G42" i="5"/>
  <c r="H40" i="1"/>
  <c r="I41" i="1"/>
  <c r="C40" i="1"/>
  <c r="B42" i="6"/>
  <c r="C42" i="5"/>
  <c r="K40" i="1"/>
  <c r="L40" i="1"/>
  <c r="M41" i="1"/>
  <c r="N42" i="1"/>
  <c r="O42" i="1"/>
  <c r="P41" i="1"/>
  <c r="Q42" i="1"/>
  <c r="R42" i="1"/>
  <c r="W40" i="1"/>
  <c r="U41" i="1"/>
  <c r="S40" i="1"/>
  <c r="J42" i="1"/>
  <c r="F42" i="1"/>
  <c r="C43" i="4"/>
  <c r="B42" i="1"/>
  <c r="D42" i="1"/>
  <c r="E43" i="5"/>
  <c r="E41" i="1"/>
  <c r="E44" i="5" s="1"/>
  <c r="V42" i="1"/>
  <c r="G41" i="1" l="1"/>
  <c r="G44" i="5" s="1"/>
  <c r="G43" i="5"/>
  <c r="H41" i="1"/>
  <c r="I42" i="1"/>
  <c r="C41" i="1"/>
  <c r="C44" i="5" s="1"/>
  <c r="C43" i="5"/>
  <c r="B43" i="6"/>
  <c r="K41" i="1"/>
  <c r="L41" i="1"/>
  <c r="M42" i="1"/>
  <c r="N43" i="1"/>
  <c r="O43" i="1"/>
  <c r="P42" i="1"/>
  <c r="Q43" i="1"/>
  <c r="R43" i="1"/>
  <c r="W41" i="1"/>
  <c r="U42" i="1"/>
  <c r="S41" i="1"/>
  <c r="J43" i="1"/>
  <c r="F43" i="1"/>
  <c r="C44" i="4"/>
  <c r="B43" i="1"/>
  <c r="E42" i="1"/>
  <c r="D43" i="1"/>
  <c r="V43" i="1"/>
  <c r="G46" i="5" l="1"/>
  <c r="G47" i="5"/>
  <c r="G42" i="1"/>
  <c r="H42" i="1"/>
  <c r="I43" i="1"/>
  <c r="C42" i="1"/>
  <c r="K42" i="1"/>
  <c r="L42" i="1"/>
  <c r="M43" i="1"/>
  <c r="N44" i="1"/>
  <c r="O44" i="1"/>
  <c r="P43" i="1"/>
  <c r="Q44" i="1"/>
  <c r="R44" i="1"/>
  <c r="W42" i="1"/>
  <c r="U43" i="1"/>
  <c r="S42" i="1"/>
  <c r="J44" i="1"/>
  <c r="F44" i="1"/>
  <c r="C45" i="4"/>
  <c r="B44" i="1"/>
  <c r="E43" i="1"/>
  <c r="D44" i="1"/>
  <c r="V44" i="1"/>
  <c r="G43" i="1" l="1"/>
  <c r="H43" i="1"/>
  <c r="I44" i="1"/>
  <c r="C43" i="1"/>
  <c r="K43" i="1"/>
  <c r="L43" i="1"/>
  <c r="M44" i="1"/>
  <c r="N45" i="1"/>
  <c r="O45" i="1"/>
  <c r="P44" i="1"/>
  <c r="Q45" i="1"/>
  <c r="R45" i="1"/>
  <c r="W43" i="1"/>
  <c r="U44" i="1"/>
  <c r="S43" i="1"/>
  <c r="J45" i="1"/>
  <c r="F45" i="1"/>
  <c r="C46" i="4"/>
  <c r="B45" i="1"/>
  <c r="D45" i="1"/>
  <c r="E44" i="1"/>
  <c r="V45" i="1"/>
  <c r="G44" i="1" l="1"/>
  <c r="H44" i="1"/>
  <c r="I45" i="1"/>
  <c r="C44" i="1"/>
  <c r="K44" i="1"/>
  <c r="L44" i="1"/>
  <c r="M45" i="1"/>
  <c r="N46" i="1"/>
  <c r="O46" i="1"/>
  <c r="P45" i="1"/>
  <c r="Q46" i="1"/>
  <c r="R46" i="1"/>
  <c r="W44" i="1"/>
  <c r="U45" i="1"/>
  <c r="S44" i="1"/>
  <c r="J46" i="1"/>
  <c r="F46" i="1"/>
  <c r="C47" i="4"/>
  <c r="B46" i="1"/>
  <c r="E45" i="1"/>
  <c r="D46" i="1"/>
  <c r="V46" i="1"/>
  <c r="G45" i="1" l="1"/>
  <c r="H45" i="1"/>
  <c r="I46" i="1"/>
  <c r="C45" i="1"/>
  <c r="K45" i="1"/>
  <c r="L45" i="1"/>
  <c r="M46" i="1"/>
  <c r="N47" i="1"/>
  <c r="O47" i="1"/>
  <c r="P46" i="1"/>
  <c r="Q47" i="1"/>
  <c r="R47" i="1"/>
  <c r="W45" i="1"/>
  <c r="U46" i="1"/>
  <c r="S45" i="1"/>
  <c r="J47" i="1"/>
  <c r="F47" i="1"/>
  <c r="C48" i="4"/>
  <c r="B47" i="1"/>
  <c r="E46" i="1"/>
  <c r="D47" i="1"/>
  <c r="V47" i="1"/>
  <c r="G46" i="1" l="1"/>
  <c r="H46" i="1"/>
  <c r="I47" i="1"/>
  <c r="C46" i="1"/>
  <c r="K46" i="1"/>
  <c r="L46" i="1"/>
  <c r="M47" i="1"/>
  <c r="N48" i="1"/>
  <c r="O48" i="1"/>
  <c r="P47" i="1"/>
  <c r="Q48" i="1"/>
  <c r="R48" i="1"/>
  <c r="W46" i="1"/>
  <c r="U47" i="1"/>
  <c r="S46" i="1"/>
  <c r="J48" i="1"/>
  <c r="F48" i="1"/>
  <c r="C49" i="4"/>
  <c r="B48" i="1"/>
  <c r="E47" i="1"/>
  <c r="D48" i="1"/>
  <c r="V48" i="1"/>
  <c r="G47" i="1" l="1"/>
  <c r="H47" i="1"/>
  <c r="I48" i="1"/>
  <c r="C47" i="1"/>
  <c r="K47" i="1"/>
  <c r="L47" i="1"/>
  <c r="M48" i="1"/>
  <c r="N50" i="1"/>
  <c r="N49" i="1"/>
  <c r="O50" i="1"/>
  <c r="O49" i="1"/>
  <c r="P48" i="1"/>
  <c r="Q50" i="1"/>
  <c r="Q49" i="1"/>
  <c r="R49" i="1"/>
  <c r="R50" i="1"/>
  <c r="W47" i="1"/>
  <c r="U48" i="1"/>
  <c r="S47" i="1"/>
  <c r="J49" i="1"/>
  <c r="J50" i="1"/>
  <c r="F50" i="1"/>
  <c r="F49" i="1"/>
  <c r="C50" i="4"/>
  <c r="B50" i="1" s="1"/>
  <c r="B49" i="1"/>
  <c r="D50" i="1"/>
  <c r="D49" i="1"/>
  <c r="E48" i="1"/>
  <c r="V50" i="1"/>
  <c r="V49" i="1"/>
  <c r="G48" i="1" l="1"/>
  <c r="H48" i="1"/>
  <c r="I49" i="1"/>
  <c r="I50" i="1"/>
  <c r="C48" i="1"/>
  <c r="K48" i="1"/>
  <c r="L48" i="1"/>
  <c r="M49" i="1"/>
  <c r="M50" i="1"/>
  <c r="P49" i="1"/>
  <c r="P50" i="1"/>
  <c r="W48" i="1"/>
  <c r="U49" i="1"/>
  <c r="U50" i="1"/>
  <c r="S48" i="1"/>
  <c r="E49" i="1"/>
  <c r="E50" i="1"/>
  <c r="G50" i="1" l="1"/>
  <c r="G49" i="1"/>
  <c r="H50" i="1"/>
  <c r="H49" i="1"/>
  <c r="C50" i="1"/>
  <c r="C49" i="1"/>
  <c r="K50" i="1"/>
  <c r="K49" i="1"/>
  <c r="L49" i="1"/>
  <c r="L50" i="1"/>
  <c r="W50" i="1"/>
  <c r="W49" i="1"/>
  <c r="S49" i="1"/>
  <c r="S50" i="1"/>
</calcChain>
</file>

<file path=xl/sharedStrings.xml><?xml version="1.0" encoding="utf-8"?>
<sst xmlns="http://schemas.openxmlformats.org/spreadsheetml/2006/main" count="4294956356" uniqueCount="1150">
  <si>
    <t>Carimbo de data/hora</t>
  </si>
  <si>
    <t>Nome Completo da Gestante:</t>
  </si>
  <si>
    <t>Religião:</t>
  </si>
  <si>
    <t>Endereço:</t>
  </si>
  <si>
    <t>Bairro:</t>
  </si>
  <si>
    <t>Cidade:</t>
  </si>
  <si>
    <t>NOME DA GESTANTE</t>
  </si>
  <si>
    <t>DOCUMENTOS</t>
  </si>
  <si>
    <t>N° Identidade:</t>
  </si>
  <si>
    <t>CPF:</t>
  </si>
  <si>
    <t>Data Nascimento:</t>
  </si>
  <si>
    <t>DADOS PESSOAIS</t>
  </si>
  <si>
    <t>Telefone:</t>
  </si>
  <si>
    <t>Cartão Pré Natal:</t>
  </si>
  <si>
    <t xml:space="preserve">   (    ) SIM             (    ) NÃO</t>
  </si>
  <si>
    <t>Sexo:</t>
  </si>
  <si>
    <t>Tempo de Gravidez:</t>
  </si>
  <si>
    <t>Nome do Pai:</t>
  </si>
  <si>
    <t>OBSERVAÇÕES IMPORTANTES</t>
  </si>
  <si>
    <t>RECEBIMENTO DO KIT</t>
  </si>
  <si>
    <t>Assinatura:</t>
  </si>
  <si>
    <t>RESPONSÁVEL PELO ATENDIMENTO NO EVENTO</t>
  </si>
  <si>
    <t>Nº de Mães</t>
  </si>
  <si>
    <t>____________________________________________________________________</t>
  </si>
  <si>
    <t>FICHA CADASTRO GESTANTE  - OBRA DO BERÇO 70 Anos</t>
  </si>
  <si>
    <t xml:space="preserve">                                                         AUTORIZAÇÃO PARA USO E EXPOSIÇÃO DE IMAGEM                                                              AUTORIZO uso da minha imagem em qualquer tipo de materiais publicitários e de marketing destinados à divulgação e publicidade da "Obra do Berço" pela  Associação Pró Obras Sociais da Paróquia Nossa Senhora da Boa Viagem, CNPJ: 11.177.911/0001-05 em todo o território nacional e internacional e em qualquer meio de comunicação existente ou que venham a existir. A presente autorização é concedida a título institucional, gratuito, sem que nada eu ou qualquer outra pessoa independente de vínculo possa reclamar a título de pagamentos ou remuneração pelo uso da minha imagem.                                                                                                                                                                                                                   Belo Horizonte, ______ de ____________________ de ______</t>
  </si>
  <si>
    <t>Data de Nascimento da Gestante</t>
  </si>
  <si>
    <t>NÃO</t>
  </si>
  <si>
    <t>QUANTIDADE DE MENINOS</t>
  </si>
  <si>
    <t>QUANTIDADE DE MENINAS</t>
  </si>
  <si>
    <t>Idade da Gestante</t>
  </si>
  <si>
    <t>LISTA DE PRESENÇA DAS GESTANTES NO EVENTO</t>
  </si>
  <si>
    <t>OBRA DO BERÇO - EVENTO PARA ENTREGA DOS KITS ENXOVAL PARA RECEM NASCIDO</t>
  </si>
  <si>
    <t xml:space="preserve">                                                   Santuário Arquidiocesano da Santíssima Eucaristia Nossa Senhora da Boa Viagem</t>
  </si>
  <si>
    <t>7º Mês</t>
  </si>
  <si>
    <t>Nº na Lista da Secretaria</t>
  </si>
  <si>
    <t>Menina</t>
  </si>
  <si>
    <t>Evangélica</t>
  </si>
  <si>
    <t xml:space="preserve"> OBRA DO BERÇO - EVENTO PARA ENTREGA DOS KITS ENXOVAL PARA RECEM NASCIDO</t>
  </si>
  <si>
    <t>Assinatura da Gestante / Responsável</t>
  </si>
  <si>
    <t>Observações Importantes</t>
  </si>
  <si>
    <t xml:space="preserve">                           Santuário Arquidiocesano da Santíssima Eucaristia Nossa Senhora da Boa Viagem</t>
  </si>
  <si>
    <t>NOVEMBRO DE 2025</t>
  </si>
  <si>
    <t xml:space="preserve">                 LISTA DE PRESENÇA DAS GESTANTES NO EVENTO</t>
  </si>
  <si>
    <t>Santuário Arquidiocesano da SS. Eucaristia Nossa Senhora da Boa Viagem</t>
  </si>
  <si>
    <t>EVENTO</t>
  </si>
  <si>
    <t>______/ ______/ ______</t>
  </si>
  <si>
    <t>Ribeirão das Neves</t>
  </si>
  <si>
    <t>124.527.806-18</t>
  </si>
  <si>
    <t>Avenida Jeferson Coelho da Silva, 369 - Bloco 2 Apt 401</t>
  </si>
  <si>
    <t>João</t>
  </si>
  <si>
    <t xml:space="preserve">(31) 99282-4775 </t>
  </si>
  <si>
    <t>Psicólogo</t>
  </si>
  <si>
    <t>Parque Estrela do Sul</t>
  </si>
  <si>
    <t xml:space="preserve">Stephanie Lorrayne dos Santos Freitas </t>
  </si>
  <si>
    <t>Gestante Antecipada para Outubro para compor o evento</t>
  </si>
  <si>
    <t>Meses de Gestação</t>
  </si>
  <si>
    <t>Nome Completo da Gestante</t>
  </si>
  <si>
    <t>Telefone completo com DDD</t>
  </si>
  <si>
    <t>Data provável do parto</t>
  </si>
  <si>
    <t>Sexo do bebê</t>
  </si>
  <si>
    <t>MG 23.145.828</t>
  </si>
  <si>
    <t>Bolsa Família</t>
  </si>
  <si>
    <t>Estado Civil:</t>
  </si>
  <si>
    <t>Está Trabalhando</t>
  </si>
  <si>
    <t>Estado Civil</t>
  </si>
  <si>
    <t>Religião</t>
  </si>
  <si>
    <t>União Estável</t>
  </si>
  <si>
    <t>Telefone com DDD e WHATSAPP</t>
  </si>
  <si>
    <t>Idade Gestacional</t>
  </si>
  <si>
    <t>Data Provável do Parto</t>
  </si>
  <si>
    <t>Sexo da Criança</t>
  </si>
  <si>
    <t>CPF da Gestante</t>
  </si>
  <si>
    <t>Nº da Identidade da Gestante</t>
  </si>
  <si>
    <t>Observações</t>
  </si>
  <si>
    <t>Endereço Completo (Rua, Nº e Complemento)</t>
  </si>
  <si>
    <t>Bairro</t>
  </si>
  <si>
    <t>Cidade</t>
  </si>
  <si>
    <t>Nome Completo do Pai da Criança</t>
  </si>
  <si>
    <t>Nº de Pessoas na Casa</t>
  </si>
  <si>
    <t>Recebe Benefício do Governo</t>
  </si>
  <si>
    <t>e-mail da Gestante</t>
  </si>
  <si>
    <t>Responsável pelo Cadastro</t>
  </si>
  <si>
    <t>Precisa de Atendimento Profissional</t>
  </si>
  <si>
    <t>Está Trabalhando?</t>
  </si>
  <si>
    <t>OBSERVAÇÕES IMPORTANTES SOBRE A GRAVIDES E OUTRAS</t>
  </si>
  <si>
    <t>Não</t>
  </si>
  <si>
    <t>josecarlos1990@gmail.com</t>
  </si>
  <si>
    <t>Nº de Pessoas no Mesmo Endereço</t>
  </si>
  <si>
    <t>DADOS DA CRIANÇA</t>
  </si>
  <si>
    <t xml:space="preserve"> Recebe Auxílio do Governo</t>
  </si>
  <si>
    <t>Precisa Atendimento Profissional</t>
  </si>
  <si>
    <t>E-mail</t>
  </si>
  <si>
    <t>2 nome do pai</t>
  </si>
  <si>
    <t>3 nome do pai</t>
  </si>
  <si>
    <t>4 nome do pai</t>
  </si>
  <si>
    <t>5 nome do pai</t>
  </si>
  <si>
    <t>6 nome do pai</t>
  </si>
  <si>
    <t>7 nome do pai</t>
  </si>
  <si>
    <t>8 nome do pai</t>
  </si>
  <si>
    <t>9 nome do pai</t>
  </si>
  <si>
    <t>10 nome do pai</t>
  </si>
  <si>
    <t>11 nome do pai</t>
  </si>
  <si>
    <t>12 nome do pai</t>
  </si>
  <si>
    <t>13 nome do pai</t>
  </si>
  <si>
    <t>14 nome do pai</t>
  </si>
  <si>
    <t>15 nome do pai</t>
  </si>
  <si>
    <t>16 nome do pai</t>
  </si>
  <si>
    <t>17 nome do pai</t>
  </si>
  <si>
    <t>18 nome do pai</t>
  </si>
  <si>
    <t>19 nome do pai</t>
  </si>
  <si>
    <t>20 nome do pai</t>
  </si>
  <si>
    <t>21 nome do pai</t>
  </si>
  <si>
    <t>22 nome do pai</t>
  </si>
  <si>
    <t>23 nome do pai</t>
  </si>
  <si>
    <t>24 nome do pai</t>
  </si>
  <si>
    <t>25 nome do pai</t>
  </si>
  <si>
    <t>26 nome do pai</t>
  </si>
  <si>
    <t>27 nome do pai</t>
  </si>
  <si>
    <t>28 nome do pai</t>
  </si>
  <si>
    <t>29 nome do pai</t>
  </si>
  <si>
    <t>30 nome do pai</t>
  </si>
  <si>
    <t>31 nome do pai</t>
  </si>
  <si>
    <t>32 nome do pai</t>
  </si>
  <si>
    <t>33 nome do pai</t>
  </si>
  <si>
    <t>34 nome do pai</t>
  </si>
  <si>
    <t>35 nome do pai</t>
  </si>
  <si>
    <t>36 nome do pai</t>
  </si>
  <si>
    <t>37 nome do pai</t>
  </si>
  <si>
    <t>38 nome do pai</t>
  </si>
  <si>
    <t>39 nome do pai</t>
  </si>
  <si>
    <t>40 nome do pai</t>
  </si>
  <si>
    <t>41 nome do pai</t>
  </si>
  <si>
    <t>42 nome do pai</t>
  </si>
  <si>
    <t>43 nome do pai</t>
  </si>
  <si>
    <t>44 nome do pai</t>
  </si>
  <si>
    <t>45 nome do pai</t>
  </si>
  <si>
    <t>46 nome do pai</t>
  </si>
  <si>
    <t>47 nome do pai</t>
  </si>
  <si>
    <t>48 nome do pai</t>
  </si>
  <si>
    <t>49 nome do pai</t>
  </si>
  <si>
    <t>2 Atendim</t>
  </si>
  <si>
    <t>3 Atendim</t>
  </si>
  <si>
    <t>4 Atendim</t>
  </si>
  <si>
    <t>5 Atendim</t>
  </si>
  <si>
    <t>6 Atendim</t>
  </si>
  <si>
    <t>7 Atendim</t>
  </si>
  <si>
    <t>8 Atendim</t>
  </si>
  <si>
    <t>9 Atendim</t>
  </si>
  <si>
    <t>10 Atendim</t>
  </si>
  <si>
    <t>11 Atendim</t>
  </si>
  <si>
    <t>12 Atendim</t>
  </si>
  <si>
    <t>13 Atendim</t>
  </si>
  <si>
    <t>14 Atendim</t>
  </si>
  <si>
    <t>15 Atendim</t>
  </si>
  <si>
    <t>16 Atendim</t>
  </si>
  <si>
    <t>17 Atendim</t>
  </si>
  <si>
    <t>18 Atendim</t>
  </si>
  <si>
    <t>19 Atendim</t>
  </si>
  <si>
    <t>20 Atendim</t>
  </si>
  <si>
    <t>21 Atendim</t>
  </si>
  <si>
    <t>22 Atendim</t>
  </si>
  <si>
    <t>23 Atendim</t>
  </si>
  <si>
    <t>24 Atendim</t>
  </si>
  <si>
    <t>25 Atendim</t>
  </si>
  <si>
    <t>26 Atendim</t>
  </si>
  <si>
    <t>27 Atendim</t>
  </si>
  <si>
    <t>28 Atendim</t>
  </si>
  <si>
    <t>29 Atendim</t>
  </si>
  <si>
    <t>30 Atendim</t>
  </si>
  <si>
    <t>31 Atendim</t>
  </si>
  <si>
    <t>32 Atendim</t>
  </si>
  <si>
    <t>33 Atendim</t>
  </si>
  <si>
    <t>34 Atendim</t>
  </si>
  <si>
    <t>35 Atendim</t>
  </si>
  <si>
    <t>36 Atendim</t>
  </si>
  <si>
    <t>37 Atendim</t>
  </si>
  <si>
    <t>38 Atendim</t>
  </si>
  <si>
    <t>39 Atendim</t>
  </si>
  <si>
    <t>40 Atendim</t>
  </si>
  <si>
    <t>41 Atendim</t>
  </si>
  <si>
    <t>42 Atendim</t>
  </si>
  <si>
    <t>43 Atendim</t>
  </si>
  <si>
    <t>44 Atendim</t>
  </si>
  <si>
    <t>45 Atendim</t>
  </si>
  <si>
    <t>46 Atendim</t>
  </si>
  <si>
    <t>47 Atendim</t>
  </si>
  <si>
    <t>48 Atendim</t>
  </si>
  <si>
    <t>49 Atendim</t>
  </si>
  <si>
    <t>2 Beneficio</t>
  </si>
  <si>
    <t>3 Beneficio</t>
  </si>
  <si>
    <t>4 Beneficio</t>
  </si>
  <si>
    <t>5 Beneficio</t>
  </si>
  <si>
    <t>6 Beneficio</t>
  </si>
  <si>
    <t>7 Beneficio</t>
  </si>
  <si>
    <t>8 Beneficio</t>
  </si>
  <si>
    <t>9 Beneficio</t>
  </si>
  <si>
    <t>10 Beneficio</t>
  </si>
  <si>
    <t>11 Beneficio</t>
  </si>
  <si>
    <t>12 Beneficio</t>
  </si>
  <si>
    <t>13 Beneficio</t>
  </si>
  <si>
    <t>14 Beneficio</t>
  </si>
  <si>
    <t>15 Beneficio</t>
  </si>
  <si>
    <t>16 Beneficio</t>
  </si>
  <si>
    <t>17 Beneficio</t>
  </si>
  <si>
    <t>18 Beneficio</t>
  </si>
  <si>
    <t>19 Beneficio</t>
  </si>
  <si>
    <t>20 Beneficio</t>
  </si>
  <si>
    <t>21 Beneficio</t>
  </si>
  <si>
    <t>22 Beneficio</t>
  </si>
  <si>
    <t>23 Beneficio</t>
  </si>
  <si>
    <t>24 Beneficio</t>
  </si>
  <si>
    <t>25 Beneficio</t>
  </si>
  <si>
    <t>26 Beneficio</t>
  </si>
  <si>
    <t>27 Beneficio</t>
  </si>
  <si>
    <t>28 Beneficio</t>
  </si>
  <si>
    <t>29 Beneficio</t>
  </si>
  <si>
    <t>30 Beneficio</t>
  </si>
  <si>
    <t>31 Beneficio</t>
  </si>
  <si>
    <t>32 Beneficio</t>
  </si>
  <si>
    <t>33 Beneficio</t>
  </si>
  <si>
    <t>34 Beneficio</t>
  </si>
  <si>
    <t>35 Beneficio</t>
  </si>
  <si>
    <t>36 Beneficio</t>
  </si>
  <si>
    <t>37 Beneficio</t>
  </si>
  <si>
    <t>38 Beneficio</t>
  </si>
  <si>
    <t>39 Beneficio</t>
  </si>
  <si>
    <t>40 Beneficio</t>
  </si>
  <si>
    <t>41 Beneficio</t>
  </si>
  <si>
    <t>42 Beneficio</t>
  </si>
  <si>
    <t>43 Beneficio</t>
  </si>
  <si>
    <t>44 Beneficio</t>
  </si>
  <si>
    <t>45 Beneficio</t>
  </si>
  <si>
    <t>46 Beneficio</t>
  </si>
  <si>
    <t>47 Beneficio</t>
  </si>
  <si>
    <t>48 Beneficio</t>
  </si>
  <si>
    <t>49 Beneficio</t>
  </si>
  <si>
    <t>2 email</t>
  </si>
  <si>
    <t>3 email</t>
  </si>
  <si>
    <t>4 email</t>
  </si>
  <si>
    <t>5 email</t>
  </si>
  <si>
    <t>6 email</t>
  </si>
  <si>
    <t>7 email</t>
  </si>
  <si>
    <t>8 email</t>
  </si>
  <si>
    <t>9 email</t>
  </si>
  <si>
    <t>10 email</t>
  </si>
  <si>
    <t>11 email</t>
  </si>
  <si>
    <t>12 email</t>
  </si>
  <si>
    <t>13 email</t>
  </si>
  <si>
    <t>14 email</t>
  </si>
  <si>
    <t>15 email</t>
  </si>
  <si>
    <t>16 email</t>
  </si>
  <si>
    <t>17 email</t>
  </si>
  <si>
    <t>18 email</t>
  </si>
  <si>
    <t>19 email</t>
  </si>
  <si>
    <t>20 email</t>
  </si>
  <si>
    <t>21 email</t>
  </si>
  <si>
    <t>22 email</t>
  </si>
  <si>
    <t>23 email</t>
  </si>
  <si>
    <t>24 email</t>
  </si>
  <si>
    <t>25 email</t>
  </si>
  <si>
    <t>26 email</t>
  </si>
  <si>
    <t>27 email</t>
  </si>
  <si>
    <t>28 email</t>
  </si>
  <si>
    <t>29 email</t>
  </si>
  <si>
    <t>30 email</t>
  </si>
  <si>
    <t>31 email</t>
  </si>
  <si>
    <t>32 email</t>
  </si>
  <si>
    <t>33 email</t>
  </si>
  <si>
    <t>34 email</t>
  </si>
  <si>
    <t>35 email</t>
  </si>
  <si>
    <t>36 email</t>
  </si>
  <si>
    <t>37 email</t>
  </si>
  <si>
    <t>38 email</t>
  </si>
  <si>
    <t>39 email</t>
  </si>
  <si>
    <t>40 email</t>
  </si>
  <si>
    <t>41 email</t>
  </si>
  <si>
    <t>42 email</t>
  </si>
  <si>
    <t>43 email</t>
  </si>
  <si>
    <t>44 email</t>
  </si>
  <si>
    <t>45 email</t>
  </si>
  <si>
    <t>46 email</t>
  </si>
  <si>
    <t>47 email</t>
  </si>
  <si>
    <t>48 email</t>
  </si>
  <si>
    <t>49 email</t>
  </si>
  <si>
    <t>2 joao</t>
  </si>
  <si>
    <t>3 joao</t>
  </si>
  <si>
    <t>4 joao</t>
  </si>
  <si>
    <t>5 joao</t>
  </si>
  <si>
    <t>6 joao</t>
  </si>
  <si>
    <t>7 joao</t>
  </si>
  <si>
    <t>8 joao</t>
  </si>
  <si>
    <t>9 joao</t>
  </si>
  <si>
    <t>10 joao</t>
  </si>
  <si>
    <t>11 joao</t>
  </si>
  <si>
    <t>12 joao</t>
  </si>
  <si>
    <t>13 joao</t>
  </si>
  <si>
    <t>14 joao</t>
  </si>
  <si>
    <t>15 joao</t>
  </si>
  <si>
    <t>16 joao</t>
  </si>
  <si>
    <t>17 joao</t>
  </si>
  <si>
    <t>18 joao</t>
  </si>
  <si>
    <t>19 joao</t>
  </si>
  <si>
    <t>20 joao</t>
  </si>
  <si>
    <t>21 joao</t>
  </si>
  <si>
    <t>22 joao</t>
  </si>
  <si>
    <t>23 joao</t>
  </si>
  <si>
    <t>24 joao</t>
  </si>
  <si>
    <t>25 joao</t>
  </si>
  <si>
    <t>26 joao</t>
  </si>
  <si>
    <t>27 joao</t>
  </si>
  <si>
    <t>28 joao</t>
  </si>
  <si>
    <t>29 joao</t>
  </si>
  <si>
    <t>30 joao</t>
  </si>
  <si>
    <t>31 joao</t>
  </si>
  <si>
    <t>32 joao</t>
  </si>
  <si>
    <t>33 joao</t>
  </si>
  <si>
    <t>34 joao</t>
  </si>
  <si>
    <t>35 joao</t>
  </si>
  <si>
    <t>36 joao</t>
  </si>
  <si>
    <t>37 joao</t>
  </si>
  <si>
    <t>38 joao</t>
  </si>
  <si>
    <t>39 joao</t>
  </si>
  <si>
    <t>40 joao</t>
  </si>
  <si>
    <t>41 joao</t>
  </si>
  <si>
    <t>42 joao</t>
  </si>
  <si>
    <t>43 joao</t>
  </si>
  <si>
    <t>44 joao</t>
  </si>
  <si>
    <t>45 joao</t>
  </si>
  <si>
    <t>46 joao</t>
  </si>
  <si>
    <t>47 joao</t>
  </si>
  <si>
    <t>48 joao</t>
  </si>
  <si>
    <t>49 joao</t>
  </si>
  <si>
    <t>2 cidade</t>
  </si>
  <si>
    <t>3 cidade</t>
  </si>
  <si>
    <t>4 cidade</t>
  </si>
  <si>
    <t>5 cidade</t>
  </si>
  <si>
    <t>6 cidade</t>
  </si>
  <si>
    <t>7 cidade</t>
  </si>
  <si>
    <t>8 cidade</t>
  </si>
  <si>
    <t>9 cidade</t>
  </si>
  <si>
    <t>10 cidade</t>
  </si>
  <si>
    <t>11 cidade</t>
  </si>
  <si>
    <t>12 cidade</t>
  </si>
  <si>
    <t>13 cidade</t>
  </si>
  <si>
    <t>14 cidade</t>
  </si>
  <si>
    <t>15 cidade</t>
  </si>
  <si>
    <t>16 cidade</t>
  </si>
  <si>
    <t>17 cidade</t>
  </si>
  <si>
    <t>18 cidade</t>
  </si>
  <si>
    <t>19 cidade</t>
  </si>
  <si>
    <t>20 cidade</t>
  </si>
  <si>
    <t>21 cidade</t>
  </si>
  <si>
    <t>22 cidade</t>
  </si>
  <si>
    <t>23 cidade</t>
  </si>
  <si>
    <t>24 cidade</t>
  </si>
  <si>
    <t>25 cidade</t>
  </si>
  <si>
    <t>26 cidade</t>
  </si>
  <si>
    <t>27 cidade</t>
  </si>
  <si>
    <t>28 cidade</t>
  </si>
  <si>
    <t>29 cidade</t>
  </si>
  <si>
    <t>30 cidade</t>
  </si>
  <si>
    <t>31 cidade</t>
  </si>
  <si>
    <t>32 cidade</t>
  </si>
  <si>
    <t>33 cidade</t>
  </si>
  <si>
    <t>34 cidade</t>
  </si>
  <si>
    <t>35 cidade</t>
  </si>
  <si>
    <t>36 cidade</t>
  </si>
  <si>
    <t>37 cidade</t>
  </si>
  <si>
    <t>38 cidade</t>
  </si>
  <si>
    <t>39 cidade</t>
  </si>
  <si>
    <t>40 cidade</t>
  </si>
  <si>
    <t>41 cidade</t>
  </si>
  <si>
    <t>42 cidade</t>
  </si>
  <si>
    <t>43 cidade</t>
  </si>
  <si>
    <t>44 cidade</t>
  </si>
  <si>
    <t>45 cidade</t>
  </si>
  <si>
    <t>46 cidade</t>
  </si>
  <si>
    <t>47 cidade</t>
  </si>
  <si>
    <t>48 cidade</t>
  </si>
  <si>
    <t>49 cidade</t>
  </si>
  <si>
    <t>2 Bairro</t>
  </si>
  <si>
    <t>3 Bairro</t>
  </si>
  <si>
    <t>4 Bairro</t>
  </si>
  <si>
    <t>5 Bairro</t>
  </si>
  <si>
    <t>6 Bairro</t>
  </si>
  <si>
    <t>7 Bairro</t>
  </si>
  <si>
    <t>8 Bairro</t>
  </si>
  <si>
    <t>9 Bairro</t>
  </si>
  <si>
    <t>10 Bairro</t>
  </si>
  <si>
    <t>11 Bairro</t>
  </si>
  <si>
    <t>12 Bairro</t>
  </si>
  <si>
    <t>13 Bairro</t>
  </si>
  <si>
    <t>14 Bairro</t>
  </si>
  <si>
    <t>15 Bairro</t>
  </si>
  <si>
    <t>16 Bairro</t>
  </si>
  <si>
    <t>17 Bairro</t>
  </si>
  <si>
    <t>18 Bairro</t>
  </si>
  <si>
    <t>19 Bairro</t>
  </si>
  <si>
    <t>20 Bairro</t>
  </si>
  <si>
    <t>21 Bairro</t>
  </si>
  <si>
    <t>22 Bairro</t>
  </si>
  <si>
    <t>23 Bairro</t>
  </si>
  <si>
    <t>24 Bairro</t>
  </si>
  <si>
    <t>25 Bairro</t>
  </si>
  <si>
    <t>26 Bairro</t>
  </si>
  <si>
    <t>27 Bairro</t>
  </si>
  <si>
    <t>28 Bairro</t>
  </si>
  <si>
    <t>29 Bairro</t>
  </si>
  <si>
    <t>30 Bairro</t>
  </si>
  <si>
    <t>31 Bairro</t>
  </si>
  <si>
    <t>32 Bairro</t>
  </si>
  <si>
    <t>33 Bairro</t>
  </si>
  <si>
    <t>34 Bairro</t>
  </si>
  <si>
    <t>35 Bairro</t>
  </si>
  <si>
    <t>36 Bairro</t>
  </si>
  <si>
    <t>37 Bairro</t>
  </si>
  <si>
    <t>38 Bairro</t>
  </si>
  <si>
    <t>39 Bairro</t>
  </si>
  <si>
    <t>40 Bairro</t>
  </si>
  <si>
    <t>41 Bairro</t>
  </si>
  <si>
    <t>42 Bairro</t>
  </si>
  <si>
    <t>43 Bairro</t>
  </si>
  <si>
    <t>44 Bairro</t>
  </si>
  <si>
    <t>45 Bairro</t>
  </si>
  <si>
    <t>46 Bairro</t>
  </si>
  <si>
    <t>47 Bairro</t>
  </si>
  <si>
    <t>48 Bairro</t>
  </si>
  <si>
    <t>49 Bairro</t>
  </si>
  <si>
    <t>2 Endereço</t>
  </si>
  <si>
    <t>3 Endereço</t>
  </si>
  <si>
    <t>4 Endereço</t>
  </si>
  <si>
    <t>5 Endereço</t>
  </si>
  <si>
    <t>6 Endereço</t>
  </si>
  <si>
    <t>7 Endereço</t>
  </si>
  <si>
    <t>8 Endereço</t>
  </si>
  <si>
    <t>9 Endereço</t>
  </si>
  <si>
    <t>10 Endereço</t>
  </si>
  <si>
    <t>11 Endereço</t>
  </si>
  <si>
    <t>12 Endereço</t>
  </si>
  <si>
    <t>13 Endereço</t>
  </si>
  <si>
    <t>14 Endereço</t>
  </si>
  <si>
    <t>15 Endereço</t>
  </si>
  <si>
    <t>16 Endereço</t>
  </si>
  <si>
    <t>17 Endereço</t>
  </si>
  <si>
    <t>18 Endereço</t>
  </si>
  <si>
    <t>19 Endereço</t>
  </si>
  <si>
    <t>20 Endereço</t>
  </si>
  <si>
    <t>21 Endereço</t>
  </si>
  <si>
    <t>22 Endereço</t>
  </si>
  <si>
    <t>23 Endereço</t>
  </si>
  <si>
    <t>24 Endereço</t>
  </si>
  <si>
    <t>25 Endereço</t>
  </si>
  <si>
    <t>26 Endereço</t>
  </si>
  <si>
    <t>27 Endereço</t>
  </si>
  <si>
    <t>28 Endereço</t>
  </si>
  <si>
    <t>29 Endereço</t>
  </si>
  <si>
    <t>30 Endereço</t>
  </si>
  <si>
    <t>31 Endereço</t>
  </si>
  <si>
    <t>32 Endereço</t>
  </si>
  <si>
    <t>33 Endereço</t>
  </si>
  <si>
    <t>34 Endereço</t>
  </si>
  <si>
    <t>35 Endereço</t>
  </si>
  <si>
    <t>36 Endereço</t>
  </si>
  <si>
    <t>37 Endereço</t>
  </si>
  <si>
    <t>38 Endereço</t>
  </si>
  <si>
    <t>39 Endereço</t>
  </si>
  <si>
    <t>40 Endereço</t>
  </si>
  <si>
    <t>41 Endereço</t>
  </si>
  <si>
    <t>42 Endereço</t>
  </si>
  <si>
    <t>43 Endereço</t>
  </si>
  <si>
    <t>44 Endereço</t>
  </si>
  <si>
    <t>45 Endereço</t>
  </si>
  <si>
    <t>46 Endereço</t>
  </si>
  <si>
    <t>47 Endereço</t>
  </si>
  <si>
    <t>48 Endereço</t>
  </si>
  <si>
    <t>49 Endereço</t>
  </si>
  <si>
    <t>2 Observações</t>
  </si>
  <si>
    <t>3 Observações</t>
  </si>
  <si>
    <t>4 Observações</t>
  </si>
  <si>
    <t>5 Observações</t>
  </si>
  <si>
    <t>6 Observações</t>
  </si>
  <si>
    <t>7 Observações</t>
  </si>
  <si>
    <t>8 Observações</t>
  </si>
  <si>
    <t>9 Observações</t>
  </si>
  <si>
    <t>10 Observações</t>
  </si>
  <si>
    <t>11 Observações</t>
  </si>
  <si>
    <t>12 Observações</t>
  </si>
  <si>
    <t>13 Observações</t>
  </si>
  <si>
    <t>14 Observações</t>
  </si>
  <si>
    <t>15 Observações</t>
  </si>
  <si>
    <t>16 Observações</t>
  </si>
  <si>
    <t>17 Observações</t>
  </si>
  <si>
    <t>18 Observações</t>
  </si>
  <si>
    <t>19 Observações</t>
  </si>
  <si>
    <t>20 Observações</t>
  </si>
  <si>
    <t>21 Observações</t>
  </si>
  <si>
    <t>22 Observações</t>
  </si>
  <si>
    <t>23 Observações</t>
  </si>
  <si>
    <t>24 Observações</t>
  </si>
  <si>
    <t>25 Observações</t>
  </si>
  <si>
    <t>26 Observações</t>
  </si>
  <si>
    <t>27 Observações</t>
  </si>
  <si>
    <t>28 Observações</t>
  </si>
  <si>
    <t>29 Observações</t>
  </si>
  <si>
    <t>30 Observações</t>
  </si>
  <si>
    <t>31 Observações</t>
  </si>
  <si>
    <t>32 Observações</t>
  </si>
  <si>
    <t>33 Observações</t>
  </si>
  <si>
    <t>34 Observações</t>
  </si>
  <si>
    <t>35 Observações</t>
  </si>
  <si>
    <t>36 Observações</t>
  </si>
  <si>
    <t>37 Observações</t>
  </si>
  <si>
    <t>38 Observações</t>
  </si>
  <si>
    <t>39 Observações</t>
  </si>
  <si>
    <t>40 Observações</t>
  </si>
  <si>
    <t>41 Observações</t>
  </si>
  <si>
    <t>42 Observações</t>
  </si>
  <si>
    <t>43 Observações</t>
  </si>
  <si>
    <t>44 Observações</t>
  </si>
  <si>
    <t>45 Observações</t>
  </si>
  <si>
    <t>46 Observações</t>
  </si>
  <si>
    <t>47 Observações</t>
  </si>
  <si>
    <t>48 Observações</t>
  </si>
  <si>
    <t>49 Observações</t>
  </si>
  <si>
    <t>2 Religiao</t>
  </si>
  <si>
    <t>3 Religiao</t>
  </si>
  <si>
    <t>4 Religiao</t>
  </si>
  <si>
    <t>5 Religiao</t>
  </si>
  <si>
    <t>6 Religiao</t>
  </si>
  <si>
    <t>7 Religiao</t>
  </si>
  <si>
    <t>8 Religiao</t>
  </si>
  <si>
    <t>9 Religiao</t>
  </si>
  <si>
    <t>10 Religiao</t>
  </si>
  <si>
    <t>11 Religiao</t>
  </si>
  <si>
    <t>12 Religiao</t>
  </si>
  <si>
    <t>13 Religiao</t>
  </si>
  <si>
    <t>14 Religiao</t>
  </si>
  <si>
    <t>15 Religiao</t>
  </si>
  <si>
    <t>16 Religiao</t>
  </si>
  <si>
    <t>17 Religiao</t>
  </si>
  <si>
    <t>18 Religiao</t>
  </si>
  <si>
    <t>19 Religiao</t>
  </si>
  <si>
    <t>20 Religiao</t>
  </si>
  <si>
    <t>21 Religiao</t>
  </si>
  <si>
    <t>22 Religiao</t>
  </si>
  <si>
    <t>23 Religiao</t>
  </si>
  <si>
    <t>24 Religiao</t>
  </si>
  <si>
    <t>25 Religiao</t>
  </si>
  <si>
    <t>26 Religiao</t>
  </si>
  <si>
    <t>27 Religiao</t>
  </si>
  <si>
    <t>28 Religiao</t>
  </si>
  <si>
    <t>29 Religiao</t>
  </si>
  <si>
    <t>30 Religiao</t>
  </si>
  <si>
    <t>31 Religiao</t>
  </si>
  <si>
    <t>32 Religiao</t>
  </si>
  <si>
    <t>33 Religiao</t>
  </si>
  <si>
    <t>34 Religiao</t>
  </si>
  <si>
    <t>35 Religiao</t>
  </si>
  <si>
    <t>36 Religiao</t>
  </si>
  <si>
    <t>37 Religiao</t>
  </si>
  <si>
    <t>38 Religiao</t>
  </si>
  <si>
    <t>39 Religiao</t>
  </si>
  <si>
    <t>40 Religiao</t>
  </si>
  <si>
    <t>41 Religiao</t>
  </si>
  <si>
    <t>42 Religiao</t>
  </si>
  <si>
    <t>43 Religiao</t>
  </si>
  <si>
    <t>44 Religiao</t>
  </si>
  <si>
    <t>45 Religiao</t>
  </si>
  <si>
    <t>46 Religiao</t>
  </si>
  <si>
    <t>47 Religiao</t>
  </si>
  <si>
    <t>48 Religiao</t>
  </si>
  <si>
    <t>49 Religiao</t>
  </si>
  <si>
    <t>2 Est Civil</t>
  </si>
  <si>
    <t>3 Est Civil</t>
  </si>
  <si>
    <t>4 Est Civil</t>
  </si>
  <si>
    <t>5 Est Civil</t>
  </si>
  <si>
    <t>6 Est Civil</t>
  </si>
  <si>
    <t>7 Est Civil</t>
  </si>
  <si>
    <t>8 Est Civil</t>
  </si>
  <si>
    <t>9 Est Civil</t>
  </si>
  <si>
    <t>10 Est Civil</t>
  </si>
  <si>
    <t>11 Est Civil</t>
  </si>
  <si>
    <t>12 Est Civil</t>
  </si>
  <si>
    <t>13 Est Civil</t>
  </si>
  <si>
    <t>14 Est Civil</t>
  </si>
  <si>
    <t>15 Est Civil</t>
  </si>
  <si>
    <t>16 Est Civil</t>
  </si>
  <si>
    <t>17 Est Civil</t>
  </si>
  <si>
    <t>18 Est Civil</t>
  </si>
  <si>
    <t>19 Est Civil</t>
  </si>
  <si>
    <t>20 Est Civil</t>
  </si>
  <si>
    <t>21 Est Civil</t>
  </si>
  <si>
    <t>22 Est Civil</t>
  </si>
  <si>
    <t>23 Est Civil</t>
  </si>
  <si>
    <t>24 Est Civil</t>
  </si>
  <si>
    <t>25 Est Civil</t>
  </si>
  <si>
    <t>26 Est Civil</t>
  </si>
  <si>
    <t>27 Est Civil</t>
  </si>
  <si>
    <t>28 Est Civil</t>
  </si>
  <si>
    <t>29 Est Civil</t>
  </si>
  <si>
    <t>30 Est Civil</t>
  </si>
  <si>
    <t>31 Est Civil</t>
  </si>
  <si>
    <t>32 Est Civil</t>
  </si>
  <si>
    <t>33 Est Civil</t>
  </si>
  <si>
    <t>34 Est Civil</t>
  </si>
  <si>
    <t>35 Est Civil</t>
  </si>
  <si>
    <t>36 Est Civil</t>
  </si>
  <si>
    <t>37 Est Civil</t>
  </si>
  <si>
    <t>38 Est Civil</t>
  </si>
  <si>
    <t>39 Est Civil</t>
  </si>
  <si>
    <t>40 Est Civil</t>
  </si>
  <si>
    <t>41 Est Civil</t>
  </si>
  <si>
    <t>42 Est Civil</t>
  </si>
  <si>
    <t>43 Est Civil</t>
  </si>
  <si>
    <t>44 Est Civil</t>
  </si>
  <si>
    <t>45 Est Civil</t>
  </si>
  <si>
    <t>46 Est Civil</t>
  </si>
  <si>
    <t>47 Est Civil</t>
  </si>
  <si>
    <t>48 Est Civil</t>
  </si>
  <si>
    <t>49 Est Civil</t>
  </si>
  <si>
    <t>2 trab</t>
  </si>
  <si>
    <t>3 trab</t>
  </si>
  <si>
    <t>4 trab</t>
  </si>
  <si>
    <t>5 trab</t>
  </si>
  <si>
    <t>6 trab</t>
  </si>
  <si>
    <t>7 trab</t>
  </si>
  <si>
    <t>8 trab</t>
  </si>
  <si>
    <t>9 trab</t>
  </si>
  <si>
    <t>10 trab</t>
  </si>
  <si>
    <t>11 trab</t>
  </si>
  <si>
    <t>12 trab</t>
  </si>
  <si>
    <t>13 trab</t>
  </si>
  <si>
    <t>14 trab</t>
  </si>
  <si>
    <t>15 trab</t>
  </si>
  <si>
    <t>16 trab</t>
  </si>
  <si>
    <t>17 trab</t>
  </si>
  <si>
    <t>18 trab</t>
  </si>
  <si>
    <t>19 trab</t>
  </si>
  <si>
    <t>20 trab</t>
  </si>
  <si>
    <t>21 trab</t>
  </si>
  <si>
    <t>22 trab</t>
  </si>
  <si>
    <t>23 trab</t>
  </si>
  <si>
    <t>24 trab</t>
  </si>
  <si>
    <t>25 trab</t>
  </si>
  <si>
    <t>26 trab</t>
  </si>
  <si>
    <t>27 trab</t>
  </si>
  <si>
    <t>28 trab</t>
  </si>
  <si>
    <t>29 trab</t>
  </si>
  <si>
    <t>30 trab</t>
  </si>
  <si>
    <t>31 trab</t>
  </si>
  <si>
    <t>32 trab</t>
  </si>
  <si>
    <t>33 trab</t>
  </si>
  <si>
    <t>34 trab</t>
  </si>
  <si>
    <t>35 trab</t>
  </si>
  <si>
    <t>36 trab</t>
  </si>
  <si>
    <t>37 trab</t>
  </si>
  <si>
    <t>38 trab</t>
  </si>
  <si>
    <t>39 trab</t>
  </si>
  <si>
    <t>40 trab</t>
  </si>
  <si>
    <t>41 trab</t>
  </si>
  <si>
    <t>42 trab</t>
  </si>
  <si>
    <t>43 trab</t>
  </si>
  <si>
    <t>44 trab</t>
  </si>
  <si>
    <t>45 trab</t>
  </si>
  <si>
    <t>46 trab</t>
  </si>
  <si>
    <t>47 trab</t>
  </si>
  <si>
    <t>48 trab</t>
  </si>
  <si>
    <t>49 trab</t>
  </si>
  <si>
    <t>2 idad</t>
  </si>
  <si>
    <t>3 idad</t>
  </si>
  <si>
    <t>4 idad</t>
  </si>
  <si>
    <t>5 idad</t>
  </si>
  <si>
    <t>6 idad</t>
  </si>
  <si>
    <t>7 idad</t>
  </si>
  <si>
    <t>8 idad</t>
  </si>
  <si>
    <t>9 idad</t>
  </si>
  <si>
    <t>10 idad</t>
  </si>
  <si>
    <t>11 idad</t>
  </si>
  <si>
    <t>12 idad</t>
  </si>
  <si>
    <t>13 idad</t>
  </si>
  <si>
    <t>14 idad</t>
  </si>
  <si>
    <t>15 idad</t>
  </si>
  <si>
    <t>16 idad</t>
  </si>
  <si>
    <t>17 idad</t>
  </si>
  <si>
    <t>18 idad</t>
  </si>
  <si>
    <t>19 idad</t>
  </si>
  <si>
    <t>20 idad</t>
  </si>
  <si>
    <t>21 idad</t>
  </si>
  <si>
    <t>22 idad</t>
  </si>
  <si>
    <t>23 idad</t>
  </si>
  <si>
    <t>24 idad</t>
  </si>
  <si>
    <t>25 idad</t>
  </si>
  <si>
    <t>26 idad</t>
  </si>
  <si>
    <t>27 idad</t>
  </si>
  <si>
    <t>28 idad</t>
  </si>
  <si>
    <t>29 idad</t>
  </si>
  <si>
    <t>30 idad</t>
  </si>
  <si>
    <t>31 idad</t>
  </si>
  <si>
    <t>32 idad</t>
  </si>
  <si>
    <t>33 idad</t>
  </si>
  <si>
    <t>34 idad</t>
  </si>
  <si>
    <t>35 idad</t>
  </si>
  <si>
    <t>36 idad</t>
  </si>
  <si>
    <t>37 idad</t>
  </si>
  <si>
    <t>38 idad</t>
  </si>
  <si>
    <t>39 idad</t>
  </si>
  <si>
    <t>40 idad</t>
  </si>
  <si>
    <t>41 idad</t>
  </si>
  <si>
    <t>42 idad</t>
  </si>
  <si>
    <t>43 idad</t>
  </si>
  <si>
    <t>44 idad</t>
  </si>
  <si>
    <t>45 idad</t>
  </si>
  <si>
    <t>46 idad</t>
  </si>
  <si>
    <t>47 idad</t>
  </si>
  <si>
    <t>48 idad</t>
  </si>
  <si>
    <t>49 idad</t>
  </si>
  <si>
    <t>2 D Nascim</t>
  </si>
  <si>
    <t>3 D Nascim</t>
  </si>
  <si>
    <t>4 D Nascim</t>
  </si>
  <si>
    <t>5 D Nascim</t>
  </si>
  <si>
    <t>6 D Nascim</t>
  </si>
  <si>
    <t>7 D Nascim</t>
  </si>
  <si>
    <t>8 D Nascim</t>
  </si>
  <si>
    <t>9 D Nascim</t>
  </si>
  <si>
    <t>10 D Nascim</t>
  </si>
  <si>
    <t>11 D Nascim</t>
  </si>
  <si>
    <t>12 D Nascim</t>
  </si>
  <si>
    <t>13 D Nascim</t>
  </si>
  <si>
    <t>14 D Nascim</t>
  </si>
  <si>
    <t>15 D Nascim</t>
  </si>
  <si>
    <t>16 D Nascim</t>
  </si>
  <si>
    <t>17 D Nascim</t>
  </si>
  <si>
    <t>18 D Nascim</t>
  </si>
  <si>
    <t>19 D Nascim</t>
  </si>
  <si>
    <t>20 D Nascim</t>
  </si>
  <si>
    <t>21 D Nascim</t>
  </si>
  <si>
    <t>22 D Nascim</t>
  </si>
  <si>
    <t>23 D Nascim</t>
  </si>
  <si>
    <t>24 D Nascim</t>
  </si>
  <si>
    <t>25 D Nascim</t>
  </si>
  <si>
    <t>26 D Nascim</t>
  </si>
  <si>
    <t>27 D Nascim</t>
  </si>
  <si>
    <t>28 D Nascim</t>
  </si>
  <si>
    <t>29 D Nascim</t>
  </si>
  <si>
    <t>30 D Nascim</t>
  </si>
  <si>
    <t>31 D Nascim</t>
  </si>
  <si>
    <t>32 D Nascim</t>
  </si>
  <si>
    <t>33 D Nascim</t>
  </si>
  <si>
    <t>34 D Nascim</t>
  </si>
  <si>
    <t>35 D Nascim</t>
  </si>
  <si>
    <t>36 D Nascim</t>
  </si>
  <si>
    <t>37 D Nascim</t>
  </si>
  <si>
    <t>38 D Nascim</t>
  </si>
  <si>
    <t>39 D Nascim</t>
  </si>
  <si>
    <t>40 D Nascim</t>
  </si>
  <si>
    <t>41 D Nascim</t>
  </si>
  <si>
    <t>42 D Nascim</t>
  </si>
  <si>
    <t>43 D Nascim</t>
  </si>
  <si>
    <t>44 D Nascim</t>
  </si>
  <si>
    <t>45 D Nascim</t>
  </si>
  <si>
    <t>46 D Nascim</t>
  </si>
  <si>
    <t>47 D Nascim</t>
  </si>
  <si>
    <t>48 D Nascim</t>
  </si>
  <si>
    <t>49 D Nascim</t>
  </si>
  <si>
    <t>2 nome da gestante</t>
  </si>
  <si>
    <t>3 nome da gestante</t>
  </si>
  <si>
    <t>4 nome da gestante</t>
  </si>
  <si>
    <t>5 nome da gestante</t>
  </si>
  <si>
    <t>6 nome da gestante</t>
  </si>
  <si>
    <t>7 nome da gestante</t>
  </si>
  <si>
    <t>8 nome da gestante</t>
  </si>
  <si>
    <t>9 nome da gestante</t>
  </si>
  <si>
    <t>10 nome da gestante</t>
  </si>
  <si>
    <t>11 nome da gestante</t>
  </si>
  <si>
    <t>12 nome da gestante</t>
  </si>
  <si>
    <t>13 nome da gestante</t>
  </si>
  <si>
    <t>14 nome da gestante</t>
  </si>
  <si>
    <t>15 nome da gestante</t>
  </si>
  <si>
    <t>16 nome da gestante</t>
  </si>
  <si>
    <t>17 nome da gestante</t>
  </si>
  <si>
    <t>18 nome da gestante</t>
  </si>
  <si>
    <t>19 nome da gestante</t>
  </si>
  <si>
    <t>20 nome da gestante</t>
  </si>
  <si>
    <t>21 nome da gestante</t>
  </si>
  <si>
    <t>22 nome da gestante</t>
  </si>
  <si>
    <t>23 nome da gestante</t>
  </si>
  <si>
    <t>24 nome da gestante</t>
  </si>
  <si>
    <t>25 nome da gestante</t>
  </si>
  <si>
    <t>26 nome da gestante</t>
  </si>
  <si>
    <t>27 nome da gestante</t>
  </si>
  <si>
    <t>28 nome da gestante</t>
  </si>
  <si>
    <t>29 nome da gestante</t>
  </si>
  <si>
    <t>30 nome da gestante</t>
  </si>
  <si>
    <t>31 nome da gestante</t>
  </si>
  <si>
    <t>32 nome da gestante</t>
  </si>
  <si>
    <t>33 nome da gestante</t>
  </si>
  <si>
    <t>34 nome da gestante</t>
  </si>
  <si>
    <t>35 nome da gestante</t>
  </si>
  <si>
    <t>36 nome da gestante</t>
  </si>
  <si>
    <t>37 nome da gestante</t>
  </si>
  <si>
    <t>38 nome da gestante</t>
  </si>
  <si>
    <t>39 nome da gestante</t>
  </si>
  <si>
    <t>40 nome da gestante</t>
  </si>
  <si>
    <t>41 nome da gestante</t>
  </si>
  <si>
    <t>42 nome da gestante</t>
  </si>
  <si>
    <t>43 nome da gestante</t>
  </si>
  <si>
    <t>44 nome da gestante</t>
  </si>
  <si>
    <t>45 nome da gestante</t>
  </si>
  <si>
    <t>46 nome da gestante</t>
  </si>
  <si>
    <t>47 nome da gestante</t>
  </si>
  <si>
    <t>48 nome da gestante</t>
  </si>
  <si>
    <t>49 nome da gestante</t>
  </si>
  <si>
    <t>2 identidade</t>
  </si>
  <si>
    <t>2 cpf</t>
  </si>
  <si>
    <t>2 sexo</t>
  </si>
  <si>
    <t>2 parto</t>
  </si>
  <si>
    <t>2 gest</t>
  </si>
  <si>
    <t>2 telefone</t>
  </si>
  <si>
    <t>3 telefone</t>
  </si>
  <si>
    <t>3 gest</t>
  </si>
  <si>
    <t>3 parto</t>
  </si>
  <si>
    <t>3 sexo</t>
  </si>
  <si>
    <t>3 cpf</t>
  </si>
  <si>
    <t>3 identidade</t>
  </si>
  <si>
    <t>4 telefone</t>
  </si>
  <si>
    <t>4 gest</t>
  </si>
  <si>
    <t>4 parto</t>
  </si>
  <si>
    <t>4 sexo</t>
  </si>
  <si>
    <t>4 cpf</t>
  </si>
  <si>
    <t>4 identidade</t>
  </si>
  <si>
    <t>5 telefone</t>
  </si>
  <si>
    <t>5 gest</t>
  </si>
  <si>
    <t>5 parto</t>
  </si>
  <si>
    <t>5 sexo</t>
  </si>
  <si>
    <t>5 cpf</t>
  </si>
  <si>
    <t>5 identidade</t>
  </si>
  <si>
    <t>6 telefone</t>
  </si>
  <si>
    <t>6 gest</t>
  </si>
  <si>
    <t>6 parto</t>
  </si>
  <si>
    <t>6 sexo</t>
  </si>
  <si>
    <t>6 cpf</t>
  </si>
  <si>
    <t>6 identidade</t>
  </si>
  <si>
    <t>7 telefone</t>
  </si>
  <si>
    <t>7 gest</t>
  </si>
  <si>
    <t>7 parto</t>
  </si>
  <si>
    <t>7 sexo</t>
  </si>
  <si>
    <t>7 cpf</t>
  </si>
  <si>
    <t>7 identidade</t>
  </si>
  <si>
    <t>8 telefone</t>
  </si>
  <si>
    <t>8 gest</t>
  </si>
  <si>
    <t>8 parto</t>
  </si>
  <si>
    <t>8 sexo</t>
  </si>
  <si>
    <t>8 cpf</t>
  </si>
  <si>
    <t>8 identidade</t>
  </si>
  <si>
    <t>9 telefone</t>
  </si>
  <si>
    <t>9 gest</t>
  </si>
  <si>
    <t>9 parto</t>
  </si>
  <si>
    <t>9 sexo</t>
  </si>
  <si>
    <t>9 cpf</t>
  </si>
  <si>
    <t>9 identidade</t>
  </si>
  <si>
    <t>10 telefone</t>
  </si>
  <si>
    <t>10 gest</t>
  </si>
  <si>
    <t>10 parto</t>
  </si>
  <si>
    <t>10 sexo</t>
  </si>
  <si>
    <t>10 cpf</t>
  </si>
  <si>
    <t>10 identidade</t>
  </si>
  <si>
    <t>11 telefone</t>
  </si>
  <si>
    <t>11 gest</t>
  </si>
  <si>
    <t>11 parto</t>
  </si>
  <si>
    <t>11 sexo</t>
  </si>
  <si>
    <t>11 cpf</t>
  </si>
  <si>
    <t>11 identidade</t>
  </si>
  <si>
    <t>12 telefone</t>
  </si>
  <si>
    <t>12 gest</t>
  </si>
  <si>
    <t>12 parto</t>
  </si>
  <si>
    <t>12 sexo</t>
  </si>
  <si>
    <t>12 cpf</t>
  </si>
  <si>
    <t>12 identidade</t>
  </si>
  <si>
    <t>13 telefone</t>
  </si>
  <si>
    <t>13 gest</t>
  </si>
  <si>
    <t>13 parto</t>
  </si>
  <si>
    <t>13 sexo</t>
  </si>
  <si>
    <t>13 cpf</t>
  </si>
  <si>
    <t>13 identidade</t>
  </si>
  <si>
    <t>14 telefone</t>
  </si>
  <si>
    <t>14 gest</t>
  </si>
  <si>
    <t>14 parto</t>
  </si>
  <si>
    <t>14 sexo</t>
  </si>
  <si>
    <t>14 cpf</t>
  </si>
  <si>
    <t>14 identidade</t>
  </si>
  <si>
    <t>15 telefone</t>
  </si>
  <si>
    <t>15 gest</t>
  </si>
  <si>
    <t>15 parto</t>
  </si>
  <si>
    <t>15 sexo</t>
  </si>
  <si>
    <t>15 cpf</t>
  </si>
  <si>
    <t>15 identidade</t>
  </si>
  <si>
    <t>16 telefone</t>
  </si>
  <si>
    <t>16 gest</t>
  </si>
  <si>
    <t>16 parto</t>
  </si>
  <si>
    <t>16 sexo</t>
  </si>
  <si>
    <t>16 cpf</t>
  </si>
  <si>
    <t>16 identidade</t>
  </si>
  <si>
    <t>17 telefone</t>
  </si>
  <si>
    <t>17 gest</t>
  </si>
  <si>
    <t>17 parto</t>
  </si>
  <si>
    <t>17 sexo</t>
  </si>
  <si>
    <t>17 cpf</t>
  </si>
  <si>
    <t>17 identidade</t>
  </si>
  <si>
    <t>18 telefone</t>
  </si>
  <si>
    <t>18 gest</t>
  </si>
  <si>
    <t>18 parto</t>
  </si>
  <si>
    <t>18 sexo</t>
  </si>
  <si>
    <t>18 cpf</t>
  </si>
  <si>
    <t>18 identidade</t>
  </si>
  <si>
    <t>19 telefone</t>
  </si>
  <si>
    <t>19 gest</t>
  </si>
  <si>
    <t>19 parto</t>
  </si>
  <si>
    <t>19 sexo</t>
  </si>
  <si>
    <t>19 cpf</t>
  </si>
  <si>
    <t>19 identidade</t>
  </si>
  <si>
    <t>20 telefone</t>
  </si>
  <si>
    <t>20 gest</t>
  </si>
  <si>
    <t>20 parto</t>
  </si>
  <si>
    <t>20 sexo</t>
  </si>
  <si>
    <t>20 cpf</t>
  </si>
  <si>
    <t>20 identidade</t>
  </si>
  <si>
    <t>21 telefone</t>
  </si>
  <si>
    <t>21 gest</t>
  </si>
  <si>
    <t>21 parto</t>
  </si>
  <si>
    <t>21 sexo</t>
  </si>
  <si>
    <t>21 cpf</t>
  </si>
  <si>
    <t>21 identidade</t>
  </si>
  <si>
    <t>22 telefone</t>
  </si>
  <si>
    <t>22 gest</t>
  </si>
  <si>
    <t>22 parto</t>
  </si>
  <si>
    <t>22 sexo</t>
  </si>
  <si>
    <t>22 cpf</t>
  </si>
  <si>
    <t>22 identidade</t>
  </si>
  <si>
    <t>23 telefone</t>
  </si>
  <si>
    <t>23 gest</t>
  </si>
  <si>
    <t>23 parto</t>
  </si>
  <si>
    <t>23 sexo</t>
  </si>
  <si>
    <t>23 cpf</t>
  </si>
  <si>
    <t>23 identidade</t>
  </si>
  <si>
    <t>24 telefone</t>
  </si>
  <si>
    <t>24 gest</t>
  </si>
  <si>
    <t>24 parto</t>
  </si>
  <si>
    <t>24 sexo</t>
  </si>
  <si>
    <t>24 cpf</t>
  </si>
  <si>
    <t>24 identidade</t>
  </si>
  <si>
    <t>25 telefone</t>
  </si>
  <si>
    <t>25 gest</t>
  </si>
  <si>
    <t>25 parto</t>
  </si>
  <si>
    <t>25 sexo</t>
  </si>
  <si>
    <t>25 cpf</t>
  </si>
  <si>
    <t>25 identidade</t>
  </si>
  <si>
    <t>26 telefone</t>
  </si>
  <si>
    <t>26 gest</t>
  </si>
  <si>
    <t>26 parto</t>
  </si>
  <si>
    <t>26 sexo</t>
  </si>
  <si>
    <t>26 cpf</t>
  </si>
  <si>
    <t>26 identidade</t>
  </si>
  <si>
    <t>27 telefone</t>
  </si>
  <si>
    <t>27 gest</t>
  </si>
  <si>
    <t>27 parto</t>
  </si>
  <si>
    <t>27 sexo</t>
  </si>
  <si>
    <t>27 cpf</t>
  </si>
  <si>
    <t>27 identidade</t>
  </si>
  <si>
    <t>28 telefone</t>
  </si>
  <si>
    <t>28 gest</t>
  </si>
  <si>
    <t>28 parto</t>
  </si>
  <si>
    <t>28 sexo</t>
  </si>
  <si>
    <t>28 cpf</t>
  </si>
  <si>
    <t>28 identidade</t>
  </si>
  <si>
    <t>29 telefone</t>
  </si>
  <si>
    <t>29 gest</t>
  </si>
  <si>
    <t>29 parto</t>
  </si>
  <si>
    <t>29 sexo</t>
  </si>
  <si>
    <t>29 cpf</t>
  </si>
  <si>
    <t>29 identidade</t>
  </si>
  <si>
    <t>30 telefone</t>
  </si>
  <si>
    <t>30 gest</t>
  </si>
  <si>
    <t>30 parto</t>
  </si>
  <si>
    <t>30 sexo</t>
  </si>
  <si>
    <t>30 cpf</t>
  </si>
  <si>
    <t>30 identidade</t>
  </si>
  <si>
    <t>31 telefone</t>
  </si>
  <si>
    <t>31 gest</t>
  </si>
  <si>
    <t>31 parto</t>
  </si>
  <si>
    <t>31 sexo</t>
  </si>
  <si>
    <t>31 cpf</t>
  </si>
  <si>
    <t>31 identidade</t>
  </si>
  <si>
    <t>32 telefone</t>
  </si>
  <si>
    <t>32 gest</t>
  </si>
  <si>
    <t>32 parto</t>
  </si>
  <si>
    <t>32 sexo</t>
  </si>
  <si>
    <t>32 cpf</t>
  </si>
  <si>
    <t>32 identidade</t>
  </si>
  <si>
    <t>33 telefone</t>
  </si>
  <si>
    <t>33 gest</t>
  </si>
  <si>
    <t>33 parto</t>
  </si>
  <si>
    <t>33 sexo</t>
  </si>
  <si>
    <t>33 cpf</t>
  </si>
  <si>
    <t>33 identidade</t>
  </si>
  <si>
    <t>34 telefone</t>
  </si>
  <si>
    <t>34 gest</t>
  </si>
  <si>
    <t>34 parto</t>
  </si>
  <si>
    <t>34 sexo</t>
  </si>
  <si>
    <t>34 cpf</t>
  </si>
  <si>
    <t>34 identidade</t>
  </si>
  <si>
    <t>35 telefone</t>
  </si>
  <si>
    <t>35 gest</t>
  </si>
  <si>
    <t>35 parto</t>
  </si>
  <si>
    <t>35 sexo</t>
  </si>
  <si>
    <t>35 cpf</t>
  </si>
  <si>
    <t>35 identidade</t>
  </si>
  <si>
    <t>36 telefone</t>
  </si>
  <si>
    <t>36 gest</t>
  </si>
  <si>
    <t>36 parto</t>
  </si>
  <si>
    <t>36 sexo</t>
  </si>
  <si>
    <t>36 cpf</t>
  </si>
  <si>
    <t>36 identidade</t>
  </si>
  <si>
    <t>37 telefone</t>
  </si>
  <si>
    <t>37 gest</t>
  </si>
  <si>
    <t>37 parto</t>
  </si>
  <si>
    <t>37 sexo</t>
  </si>
  <si>
    <t>37 cpf</t>
  </si>
  <si>
    <t>37 identidade</t>
  </si>
  <si>
    <t>38 telefone</t>
  </si>
  <si>
    <t>38 gest</t>
  </si>
  <si>
    <t>38 parto</t>
  </si>
  <si>
    <t>38 sexo</t>
  </si>
  <si>
    <t>38 cpf</t>
  </si>
  <si>
    <t>38 identidade</t>
  </si>
  <si>
    <t>39 telefone</t>
  </si>
  <si>
    <t>39 gest</t>
  </si>
  <si>
    <t>39 parto</t>
  </si>
  <si>
    <t>39 sexo</t>
  </si>
  <si>
    <t>39 cpf</t>
  </si>
  <si>
    <t>39 identidade</t>
  </si>
  <si>
    <t>40 telefone</t>
  </si>
  <si>
    <t>40 gest</t>
  </si>
  <si>
    <t>40 parto</t>
  </si>
  <si>
    <t>40 sexo</t>
  </si>
  <si>
    <t>40 cpf</t>
  </si>
  <si>
    <t>40 identidade</t>
  </si>
  <si>
    <t>41 telefone</t>
  </si>
  <si>
    <t>41 gest</t>
  </si>
  <si>
    <t>41 parto</t>
  </si>
  <si>
    <t>41 sexo</t>
  </si>
  <si>
    <t>41 cpf</t>
  </si>
  <si>
    <t>41 identidade</t>
  </si>
  <si>
    <t>42 telefone</t>
  </si>
  <si>
    <t>42 gest</t>
  </si>
  <si>
    <t>42 parto</t>
  </si>
  <si>
    <t>42 sexo</t>
  </si>
  <si>
    <t>42 cpf</t>
  </si>
  <si>
    <t>42 identidade</t>
  </si>
  <si>
    <t>43 telefone</t>
  </si>
  <si>
    <t>43 gest</t>
  </si>
  <si>
    <t>43 parto</t>
  </si>
  <si>
    <t>43 sexo</t>
  </si>
  <si>
    <t>43 cpf</t>
  </si>
  <si>
    <t>43 identidade</t>
  </si>
  <si>
    <t>44 telefone</t>
  </si>
  <si>
    <t>44 gest</t>
  </si>
  <si>
    <t>44 parto</t>
  </si>
  <si>
    <t>44 sexo</t>
  </si>
  <si>
    <t>44 cpf</t>
  </si>
  <si>
    <t>44 identidade</t>
  </si>
  <si>
    <t>45 telefone</t>
  </si>
  <si>
    <t>45 gest</t>
  </si>
  <si>
    <t>45 parto</t>
  </si>
  <si>
    <t>45 sexo</t>
  </si>
  <si>
    <t>45 cpf</t>
  </si>
  <si>
    <t>45 identidade</t>
  </si>
  <si>
    <t>46 telefone</t>
  </si>
  <si>
    <t>46 gest</t>
  </si>
  <si>
    <t>46 parto</t>
  </si>
  <si>
    <t>46 sexo</t>
  </si>
  <si>
    <t>46 cpf</t>
  </si>
  <si>
    <t>46 identidade</t>
  </si>
  <si>
    <t>47 telefone</t>
  </si>
  <si>
    <t>47 gest</t>
  </si>
  <si>
    <t>47 parto</t>
  </si>
  <si>
    <t>47 sexo</t>
  </si>
  <si>
    <t>47 cpf</t>
  </si>
  <si>
    <t>47 identidade</t>
  </si>
  <si>
    <t>48 telefone</t>
  </si>
  <si>
    <t>48 gest</t>
  </si>
  <si>
    <t>48 parto</t>
  </si>
  <si>
    <t>48 sexo</t>
  </si>
  <si>
    <t>48 cpf</t>
  </si>
  <si>
    <t>48 identidade</t>
  </si>
  <si>
    <t>49 telefone</t>
  </si>
  <si>
    <t>49 gest</t>
  </si>
  <si>
    <t>49 parto</t>
  </si>
  <si>
    <t>49 sexo</t>
  </si>
  <si>
    <t>49 cpf</t>
  </si>
  <si>
    <t>49 identidade</t>
  </si>
  <si>
    <t>1 NP</t>
  </si>
  <si>
    <t>2 NP</t>
  </si>
  <si>
    <t>3 NP</t>
  </si>
  <si>
    <t>4 NP</t>
  </si>
  <si>
    <t>5 NP</t>
  </si>
  <si>
    <t>6 NP</t>
  </si>
  <si>
    <t>7 NP</t>
  </si>
  <si>
    <t>8 NP</t>
  </si>
  <si>
    <t>9 NP</t>
  </si>
  <si>
    <t>10 NP</t>
  </si>
  <si>
    <t>11 NP</t>
  </si>
  <si>
    <t>12 NP</t>
  </si>
  <si>
    <t>13 NP</t>
  </si>
  <si>
    <t>14 NP</t>
  </si>
  <si>
    <t>15 NP</t>
  </si>
  <si>
    <t>16 NP</t>
  </si>
  <si>
    <t>17 NP</t>
  </si>
  <si>
    <t>18 NP</t>
  </si>
  <si>
    <t>19 NP</t>
  </si>
  <si>
    <t>20 NP</t>
  </si>
  <si>
    <t>21 NP</t>
  </si>
  <si>
    <t>22 NP</t>
  </si>
  <si>
    <t>23 NP</t>
  </si>
  <si>
    <t>24 NP</t>
  </si>
  <si>
    <t>25 NP</t>
  </si>
  <si>
    <t>26 NP</t>
  </si>
  <si>
    <t>27 NP</t>
  </si>
  <si>
    <t>28 NP</t>
  </si>
  <si>
    <t>29 NP</t>
  </si>
  <si>
    <t>30 NP</t>
  </si>
  <si>
    <t>31 NP</t>
  </si>
  <si>
    <t>32 NP</t>
  </si>
  <si>
    <t>33 NP</t>
  </si>
  <si>
    <t>34 NP</t>
  </si>
  <si>
    <t>35 NP</t>
  </si>
  <si>
    <t>36 NP</t>
  </si>
  <si>
    <t>37 NP</t>
  </si>
  <si>
    <t>38 NP</t>
  </si>
  <si>
    <t>39 NP</t>
  </si>
  <si>
    <t>40 NP</t>
  </si>
  <si>
    <t>41 NP</t>
  </si>
  <si>
    <t>42 NP</t>
  </si>
  <si>
    <t>43 NP</t>
  </si>
  <si>
    <t>44 NP</t>
  </si>
  <si>
    <t>45 NP</t>
  </si>
  <si>
    <t>46 NP</t>
  </si>
  <si>
    <t>47 NP</t>
  </si>
  <si>
    <t>48 NP</t>
  </si>
  <si>
    <t>49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</si>
</sst>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3" tint="-0.249977111117893"/>
      <name val="Arial"/>
      <family val="2"/>
    </font>
    <font>
      <b/>
      <sz val="11"/>
      <color rgb="FFC0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theme="3" tint="-0.499984740745262"/>
      <name val="Calibri"/>
      <family val="2"/>
      <scheme val="minor"/>
    </font>
    <font>
      <b/>
      <sz val="12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b/>
      <sz val="11"/>
      <color theme="3" tint="-0.499984740745262"/>
      <name val="Calibri"/>
      <family val="2"/>
      <scheme val="minor"/>
    </font>
    <font>
      <sz val="14"/>
      <color theme="3" tint="-0.499984740745262"/>
      <name val="Calibri"/>
      <family val="2"/>
      <scheme val="minor"/>
    </font>
    <font>
      <b/>
      <sz val="11"/>
      <color theme="3" tint="-0.499984740745262"/>
      <name val="Arial"/>
      <family val="2"/>
    </font>
    <font>
      <b/>
      <sz val="9"/>
      <color theme="3" tint="-0.499984740745262"/>
      <name val="Arial"/>
      <family val="2"/>
    </font>
    <font>
      <b/>
      <sz val="8"/>
      <color theme="3" tint="-0.499984740745262"/>
      <name val="Arial"/>
      <family val="2"/>
    </font>
    <font>
      <b/>
      <sz val="12"/>
      <color theme="3" tint="-0.24994659260841701"/>
      <name val="Arial"/>
      <family val="2"/>
    </font>
    <font>
      <b/>
      <sz val="17"/>
      <color theme="3" tint="-0.499984740745262"/>
      <name val="Calibri"/>
      <family val="2"/>
      <scheme val="minor"/>
    </font>
    <font>
      <sz val="10"/>
      <color theme="3" tint="-0.499984740745262"/>
      <name val="Arial"/>
      <family val="2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b/>
      <sz val="10"/>
      <color theme="3" tint="-0.249977111117893"/>
      <name val="Arial"/>
      <family val="2"/>
    </font>
    <font>
      <b/>
      <sz val="11"/>
      <color theme="3" tint="-0.24994659260841701"/>
      <name val="Arial"/>
      <family val="2"/>
    </font>
    <font>
      <b/>
      <sz val="14"/>
      <color rgb="FF00B050"/>
      <name val="Calibri"/>
      <family val="2"/>
      <scheme val="minor"/>
    </font>
    <font>
      <b/>
      <sz val="12"/>
      <color theme="3" tint="-0.249977111117893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theme="3" tint="-0.249977111117893"/>
      <name val="Arial"/>
      <family val="2"/>
    </font>
    <font>
      <b/>
      <sz val="12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theme="3" tint="-0.24994659260841701"/>
      </left>
      <right style="thin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 style="medium">
        <color theme="3" tint="-0.24994659260841701"/>
      </left>
      <right style="thin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/>
      <right/>
      <top/>
      <bottom style="medium">
        <color theme="3" tint="-0.24994659260841701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thin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/>
      <top/>
      <bottom/>
      <diagonal/>
    </border>
    <border>
      <left/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/>
      <bottom style="medium">
        <color theme="3" tint="-0.24994659260841701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/>
      <diagonal/>
    </border>
    <border>
      <left/>
      <right/>
      <top style="medium">
        <color theme="3" tint="-0.24994659260841701"/>
      </top>
      <bottom/>
      <diagonal/>
    </border>
    <border>
      <left/>
      <right style="medium">
        <color theme="3" tint="-0.24994659260841701"/>
      </right>
      <top style="medium">
        <color theme="3" tint="-0.24994659260841701"/>
      </top>
      <bottom/>
      <diagonal/>
    </border>
    <border>
      <left style="medium">
        <color theme="3" tint="-0.24994659260841701"/>
      </left>
      <right/>
      <top/>
      <bottom style="medium">
        <color theme="3" tint="-0.24994659260841701"/>
      </bottom>
      <diagonal/>
    </border>
    <border>
      <left/>
      <right style="medium">
        <color theme="3" tint="-0.24994659260841701"/>
      </right>
      <top style="medium">
        <color theme="3" tint="-0.24994659260841701"/>
      </top>
      <bottom style="medium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24994659260841701"/>
      </left>
      <right/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 style="thin">
        <color theme="3" tint="-0.24994659260841701"/>
      </bottom>
      <diagonal/>
    </border>
    <border>
      <left style="medium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theme="3" tint="-0.24994659260841701"/>
      </left>
      <right/>
      <top style="thin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/>
      <top/>
      <bottom/>
      <diagonal/>
    </border>
    <border>
      <left style="medium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medium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medium">
        <color theme="3" tint="-0.24994659260841701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24994659260841701"/>
      </right>
      <top style="medium">
        <color theme="3" tint="-0.499984740745262"/>
      </top>
      <bottom style="thin">
        <color theme="3" tint="-0.499984740745262"/>
      </bottom>
      <diagonal/>
    </border>
    <border>
      <left style="medium">
        <color theme="3" tint="-0.24994659260841701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24994659260841701"/>
      </right>
      <top style="thin">
        <color theme="3" tint="-0.499984740745262"/>
      </top>
      <bottom style="thin">
        <color theme="3" tint="-0.499984740745262"/>
      </bottom>
      <diagonal/>
    </border>
    <border>
      <left/>
      <right style="medium">
        <color theme="3" tint="-0.24994659260841701"/>
      </right>
      <top/>
      <bottom/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medium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medium">
        <color theme="3" tint="-0.499984740745262"/>
      </top>
      <bottom/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499984740745262"/>
      </bottom>
      <diagonal/>
    </border>
    <border>
      <left style="medium">
        <color theme="3" tint="-0.24994659260841701"/>
      </left>
      <right style="thin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medium">
        <color theme="3" tint="-0.499984740745262"/>
      </top>
      <bottom/>
      <diagonal/>
    </border>
    <border>
      <left/>
      <right style="thin">
        <color theme="3" tint="-0.499984740745262"/>
      </right>
      <top style="medium">
        <color theme="3" tint="-0.499984740745262"/>
      </top>
      <bottom/>
      <diagonal/>
    </border>
    <border>
      <left style="thin">
        <color theme="3" tint="-0.499984740745262"/>
      </left>
      <right style="thin">
        <color theme="3" tint="-0.499984740745262"/>
      </right>
      <top style="medium">
        <color theme="3" tint="-0.499984740745262"/>
      </top>
      <bottom/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medium">
        <color theme="3" tint="-0.24994659260841701"/>
      </bottom>
      <diagonal/>
    </border>
    <border>
      <left style="thin">
        <color theme="3" tint="-0.499984740745262"/>
      </left>
      <right style="medium">
        <color theme="3" tint="-0.24994659260841701"/>
      </right>
      <top style="thin">
        <color theme="3" tint="-0.499984740745262"/>
      </top>
      <bottom style="medium">
        <color theme="3" tint="-0.24994659260841701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medium">
        <color theme="3" tint="-0.499984740745262"/>
      </bottom>
      <diagonal/>
    </border>
    <border>
      <left/>
      <right/>
      <top style="thin">
        <color theme="3" tint="-0.499984740745262"/>
      </top>
      <bottom style="medium">
        <color theme="3" tint="-0.499984740745262"/>
      </bottom>
      <diagonal/>
    </border>
    <border>
      <left/>
      <right style="medium">
        <color theme="3" tint="-0.499984740745262"/>
      </right>
      <top style="thin">
        <color theme="3" tint="-0.499984740745262"/>
      </top>
      <bottom style="medium">
        <color theme="3" tint="-0.499984740745262"/>
      </bottom>
      <diagonal/>
    </border>
    <border>
      <left style="medium">
        <color theme="3" tint="-0.24994659260841701"/>
      </left>
      <right style="thin">
        <color theme="3" tint="-0.499984740745262"/>
      </right>
      <top style="thin">
        <color theme="3" tint="-0.499984740745262"/>
      </top>
      <bottom style="medium">
        <color theme="3" tint="-0.24994659260841701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medium">
        <color theme="3" tint="-0.24994659260841701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medium">
        <color theme="3" tint="-0.24994659260841701"/>
      </bottom>
      <diagonal/>
    </border>
    <border>
      <left/>
      <right style="thin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 style="medium">
        <color theme="3" tint="-0.24994659260841701"/>
      </bottom>
      <diagonal/>
    </border>
    <border>
      <left style="medium">
        <color theme="3" tint="-0.499984740745262"/>
      </left>
      <right/>
      <top/>
      <bottom style="thin">
        <color theme="3" tint="-0.499984740745262"/>
      </bottom>
      <diagonal/>
    </border>
    <border>
      <left/>
      <right/>
      <top/>
      <bottom style="thin">
        <color theme="3" tint="-0.499984740745262"/>
      </bottom>
      <diagonal/>
    </border>
    <border>
      <left/>
      <right style="medium">
        <color theme="3" tint="-0.499984740745262"/>
      </right>
      <top/>
      <bottom style="thin">
        <color theme="3" tint="-0.499984740745262"/>
      </bottom>
      <diagonal/>
    </border>
    <border>
      <left/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/>
      <top style="thin">
        <color theme="3" tint="-0.499984740745262"/>
      </top>
      <bottom/>
      <diagonal/>
    </border>
    <border>
      <left/>
      <right/>
      <top style="thin">
        <color theme="3" tint="-0.499984740745262"/>
      </top>
      <bottom/>
      <diagonal/>
    </border>
    <border>
      <left/>
      <right style="medium">
        <color theme="3" tint="-0.499984740745262"/>
      </right>
      <top style="thin">
        <color theme="3" tint="-0.499984740745262"/>
      </top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textRotation="90" wrapText="1"/>
    </xf>
    <xf numFmtId="0" fontId="0" fillId="0" borderId="0" xfId="0" applyAlignment="1">
      <alignment horizontal="left" vertical="center"/>
    </xf>
    <xf numFmtId="0" fontId="7" fillId="0" borderId="1" xfId="0" applyFont="1" applyBorder="1"/>
    <xf numFmtId="0" fontId="6" fillId="0" borderId="1" xfId="0" applyFont="1" applyBorder="1"/>
    <xf numFmtId="0" fontId="1" fillId="0" borderId="0" xfId="0" applyFont="1"/>
    <xf numFmtId="0" fontId="4" fillId="0" borderId="0" xfId="0" applyFont="1"/>
    <xf numFmtId="0" fontId="11" fillId="0" borderId="12" xfId="0" applyFont="1" applyBorder="1" applyAlignment="1">
      <alignment horizontal="center" vertical="center"/>
    </xf>
    <xf numFmtId="14" fontId="13" fillId="0" borderId="13" xfId="0" applyNumberFormat="1" applyFont="1" applyBorder="1" applyAlignment="1">
      <alignment horizontal="left" wrapText="1"/>
    </xf>
    <xf numFmtId="0" fontId="15" fillId="0" borderId="1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22" fontId="2" fillId="0" borderId="13" xfId="0" applyNumberFormat="1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14" fontId="0" fillId="0" borderId="0" xfId="0" applyNumberFormat="1"/>
    <xf numFmtId="0" fontId="20" fillId="0" borderId="0" xfId="0" applyFont="1" applyAlignment="1">
      <alignment vertical="center" wrapText="1"/>
    </xf>
    <xf numFmtId="0" fontId="19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textRotation="90"/>
    </xf>
    <xf numFmtId="0" fontId="23" fillId="0" borderId="4" xfId="0" applyFont="1" applyBorder="1" applyAlignment="1">
      <alignment horizontal="center" vertical="center" textRotation="90" wrapText="1"/>
    </xf>
    <xf numFmtId="0" fontId="23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textRotation="90" wrapText="1"/>
    </xf>
    <xf numFmtId="0" fontId="23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textRotation="90" wrapText="1"/>
    </xf>
    <xf numFmtId="0" fontId="19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vertical="center" wrapText="1"/>
    </xf>
    <xf numFmtId="0" fontId="5" fillId="0" borderId="31" xfId="0" applyFont="1" applyBorder="1" applyAlignment="1">
      <alignment vertical="top" wrapText="1"/>
    </xf>
    <xf numFmtId="0" fontId="24" fillId="0" borderId="0" xfId="0" applyFont="1" applyAlignment="1">
      <alignment horizontal="right"/>
    </xf>
    <xf numFmtId="0" fontId="25" fillId="0" borderId="4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6" fillId="0" borderId="0" xfId="0" applyFont="1"/>
    <xf numFmtId="14" fontId="22" fillId="0" borderId="13" xfId="0" applyNumberFormat="1" applyFont="1" applyBorder="1" applyAlignment="1">
      <alignment horizontal="center" vertical="center"/>
    </xf>
    <xf numFmtId="22" fontId="2" fillId="0" borderId="13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22" fontId="8" fillId="0" borderId="38" xfId="0" applyNumberFormat="1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 wrapText="1"/>
    </xf>
    <xf numFmtId="14" fontId="19" fillId="0" borderId="7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8" fillId="0" borderId="21" xfId="0" applyFont="1" applyBorder="1" applyAlignment="1">
      <alignment horizontal="fill" vertical="center"/>
    </xf>
    <xf numFmtId="0" fontId="18" fillId="0" borderId="22" xfId="0" applyFont="1" applyBorder="1" applyAlignment="1">
      <alignment horizontal="fill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wrapText="1"/>
    </xf>
    <xf numFmtId="0" fontId="22" fillId="0" borderId="47" xfId="0" applyFont="1" applyBorder="1" applyAlignment="1">
      <alignment horizontal="center" vertical="center" textRotation="90"/>
    </xf>
    <xf numFmtId="0" fontId="29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/>
    </xf>
    <xf numFmtId="0" fontId="30" fillId="0" borderId="49" xfId="0" applyFont="1" applyBorder="1" applyAlignment="1">
      <alignment vertical="center"/>
    </xf>
    <xf numFmtId="0" fontId="25" fillId="0" borderId="50" xfId="0" applyFont="1" applyBorder="1" applyAlignment="1">
      <alignment vertical="center" wrapText="1"/>
    </xf>
    <xf numFmtId="0" fontId="28" fillId="0" borderId="51" xfId="0" applyFont="1" applyBorder="1" applyAlignment="1">
      <alignment horizontal="left" vertical="center" wrapText="1"/>
    </xf>
    <xf numFmtId="22" fontId="0" fillId="0" borderId="36" xfId="0" applyNumberFormat="1" applyBorder="1" applyAlignment="1">
      <alignment horizontal="left" vertical="center" wrapText="1"/>
    </xf>
    <xf numFmtId="0" fontId="12" fillId="0" borderId="37" xfId="0" applyFont="1" applyBorder="1" applyAlignment="1">
      <alignment horizontal="center" vertical="center"/>
    </xf>
    <xf numFmtId="0" fontId="30" fillId="0" borderId="40" xfId="0" applyFont="1" applyBorder="1" applyAlignment="1">
      <alignment vertical="center"/>
    </xf>
    <xf numFmtId="0" fontId="28" fillId="0" borderId="13" xfId="0" applyFont="1" applyBorder="1" applyAlignment="1">
      <alignment horizontal="left" vertical="center" wrapText="1"/>
    </xf>
    <xf numFmtId="22" fontId="0" fillId="0" borderId="38" xfId="0" applyNumberFormat="1" applyBorder="1" applyAlignment="1">
      <alignment horizontal="left" vertical="center" wrapText="1"/>
    </xf>
    <xf numFmtId="0" fontId="25" fillId="0" borderId="52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22" fontId="0" fillId="0" borderId="54" xfId="0" applyNumberFormat="1" applyBorder="1" applyAlignment="1">
      <alignment horizontal="left" vertical="center" wrapText="1"/>
    </xf>
    <xf numFmtId="49" fontId="14" fillId="0" borderId="41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/>
    </xf>
    <xf numFmtId="0" fontId="30" fillId="0" borderId="47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9" fillId="0" borderId="7" xfId="0" applyFont="1" applyBorder="1" applyAlignment="1">
      <alignment vertical="center" wrapText="1"/>
    </xf>
    <xf numFmtId="0" fontId="12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vertical="center"/>
    </xf>
    <xf numFmtId="0" fontId="28" fillId="0" borderId="60" xfId="0" applyFont="1" applyBorder="1" applyAlignment="1">
      <alignment horizontal="left" vertical="center" wrapText="1"/>
    </xf>
    <xf numFmtId="0" fontId="25" fillId="0" borderId="61" xfId="0" applyFont="1" applyBorder="1" applyAlignment="1">
      <alignment horizontal="center" vertical="center"/>
    </xf>
    <xf numFmtId="22" fontId="19" fillId="0" borderId="7" xfId="0" applyNumberFormat="1" applyFont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 wrapText="1"/>
    </xf>
    <xf numFmtId="22" fontId="25" fillId="0" borderId="26" xfId="0" applyNumberFormat="1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textRotation="90" wrapText="1"/>
    </xf>
    <xf numFmtId="14" fontId="30" fillId="0" borderId="26" xfId="0" applyNumberFormat="1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textRotation="90" wrapText="1"/>
    </xf>
    <xf numFmtId="0" fontId="31" fillId="0" borderId="3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textRotation="90" wrapText="1"/>
    </xf>
    <xf numFmtId="0" fontId="13" fillId="0" borderId="1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textRotation="90" wrapText="1"/>
    </xf>
    <xf numFmtId="0" fontId="14" fillId="0" borderId="6" xfId="0" applyFont="1" applyBorder="1" applyAlignment="1">
      <alignment horizontal="center" vertical="center" textRotation="90" wrapText="1"/>
    </xf>
    <xf numFmtId="14" fontId="23" fillId="0" borderId="5" xfId="0" applyNumberFormat="1" applyFont="1" applyBorder="1" applyAlignment="1">
      <alignment horizontal="center" vertical="center" textRotation="90" wrapText="1"/>
    </xf>
    <xf numFmtId="22" fontId="19" fillId="0" borderId="7" xfId="0" applyNumberFormat="1" applyFont="1" applyBorder="1" applyAlignment="1">
      <alignment horizontal="left" vertical="center" wrapText="1"/>
    </xf>
    <xf numFmtId="22" fontId="32" fillId="0" borderId="7" xfId="1" applyNumberForma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textRotation="90" wrapText="1"/>
    </xf>
    <xf numFmtId="0" fontId="32" fillId="0" borderId="3" xfId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right" vertical="top"/>
    </xf>
    <xf numFmtId="0" fontId="11" fillId="0" borderId="43" xfId="0" applyFont="1" applyBorder="1" applyAlignment="1">
      <alignment horizontal="right" vertical="top"/>
    </xf>
    <xf numFmtId="0" fontId="15" fillId="0" borderId="1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66" xfId="0" applyFont="1" applyBorder="1" applyAlignment="1">
      <alignment horizontal="center"/>
    </xf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left" vertical="center" wrapText="1"/>
    </xf>
    <xf numFmtId="0" fontId="13" fillId="2" borderId="14" xfId="0" applyFont="1" applyFill="1" applyBorder="1" applyAlignment="1">
      <alignment horizontal="left" vertical="center" wrapText="1"/>
    </xf>
    <xf numFmtId="0" fontId="15" fillId="0" borderId="67" xfId="0" applyFont="1" applyBorder="1" applyAlignment="1">
      <alignment horizontal="left" vertical="top" wrapText="1"/>
    </xf>
    <xf numFmtId="0" fontId="15" fillId="0" borderId="68" xfId="0" applyFont="1" applyBorder="1" applyAlignment="1">
      <alignment horizontal="left" vertical="top" wrapText="1"/>
    </xf>
    <xf numFmtId="0" fontId="15" fillId="0" borderId="69" xfId="0" applyFont="1" applyBorder="1" applyAlignment="1">
      <alignment horizontal="left" vertical="top" wrapText="1"/>
    </xf>
    <xf numFmtId="0" fontId="15" fillId="0" borderId="63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/>
    </xf>
    <xf numFmtId="0" fontId="21" fillId="0" borderId="14" xfId="0" applyFont="1" applyBorder="1" applyAlignment="1">
      <alignment horizontal="left" vertical="top"/>
    </xf>
    <xf numFmtId="0" fontId="14" fillId="0" borderId="40" xfId="0" applyFont="1" applyBorder="1" applyAlignment="1">
      <alignment horizontal="left" vertical="top" wrapText="1"/>
    </xf>
    <xf numFmtId="0" fontId="14" fillId="0" borderId="43" xfId="0" applyFont="1" applyBorder="1" applyAlignment="1">
      <alignment horizontal="left" vertical="top" wrapText="1"/>
    </xf>
    <xf numFmtId="0" fontId="14" fillId="0" borderId="41" xfId="0" applyFont="1" applyBorder="1" applyAlignment="1">
      <alignment horizontal="left" vertical="top" wrapText="1"/>
    </xf>
    <xf numFmtId="0" fontId="12" fillId="0" borderId="55" xfId="0" applyFont="1" applyBorder="1" applyAlignment="1">
      <alignment horizontal="right"/>
    </xf>
    <xf numFmtId="0" fontId="12" fillId="0" borderId="56" xfId="0" applyFont="1" applyBorder="1" applyAlignment="1">
      <alignment horizontal="right"/>
    </xf>
    <xf numFmtId="0" fontId="12" fillId="0" borderId="57" xfId="0" applyFont="1" applyBorder="1" applyAlignment="1">
      <alignment horizontal="right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19" xfId="0" applyFont="1" applyBorder="1" applyAlignment="1">
      <alignment horizontal="right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30" fillId="0" borderId="47" xfId="0" applyFont="1" applyBorder="1" applyAlignment="1">
      <alignment horizontal="center" vertical="center" wrapText="1"/>
    </xf>
    <xf numFmtId="0" fontId="0" fillId="0" borderId="0" xfId="0" applyBorder="1"/>
    <xf numFmtId="0" fontId="33" fillId="0" borderId="13" xfId="0" applyFont="1" applyBorder="1" applyAlignment="1">
      <alignment horizontal="right" vertical="center" wrapText="1"/>
    </xf>
    <xf numFmtId="0" fontId="33" fillId="0" borderId="13" xfId="0" applyFont="1" applyBorder="1" applyAlignment="1">
      <alignment horizontal="right" vertical="center"/>
    </xf>
    <xf numFmtId="0" fontId="33" fillId="0" borderId="34" xfId="0" applyFont="1" applyBorder="1" applyAlignment="1">
      <alignment horizontal="right" vertical="center" wrapText="1"/>
    </xf>
    <xf numFmtId="0" fontId="34" fillId="0" borderId="13" xfId="0" applyFont="1" applyBorder="1" applyAlignment="1">
      <alignment horizontal="right" vertical="center" wrapText="1"/>
    </xf>
    <xf numFmtId="0" fontId="35" fillId="0" borderId="0" xfId="0" applyFont="1" applyAlignment="1">
      <alignment horizontal="right" vertical="center"/>
    </xf>
  </cellXfs>
  <cellStyles count="2">
    <cellStyle name="Hiperlink" xfId="1" builtinId="8"/>
    <cellStyle name="Normal" xfId="0" builtinId="0"/>
  </cellStyles>
  <dxfs count="5">
    <dxf>
      <font>
        <b/>
        <i val="0"/>
        <color rgb="FFFF0000"/>
      </font>
    </dxf>
    <dxf>
      <font>
        <strike val="0"/>
        <color rgb="FFFF0000"/>
      </font>
    </dxf>
    <dxf>
      <font>
        <b val="0"/>
        <i val="0"/>
        <strike val="0"/>
        <color rgb="FFFF0000"/>
      </font>
      <numFmt numFmtId="0" formatCode="General"/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CCECFF"/>
      <color rgb="FFFFD1D1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76200</xdr:rowOff>
    </xdr:from>
    <xdr:to>
      <xdr:col>1</xdr:col>
      <xdr:colOff>1343026</xdr:colOff>
      <xdr:row>2</xdr:row>
      <xdr:rowOff>194027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419F46E7-B653-402E-822B-5924390CB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6200"/>
          <a:ext cx="1295401" cy="689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76200</xdr:rowOff>
    </xdr:from>
    <xdr:to>
      <xdr:col>1</xdr:col>
      <xdr:colOff>923926</xdr:colOff>
      <xdr:row>2</xdr:row>
      <xdr:rowOff>203552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4FBA4D-7EEB-4CEB-8728-D5A7FBC59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76200"/>
          <a:ext cx="1085850" cy="6893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1</xdr:col>
      <xdr:colOff>1026898</xdr:colOff>
      <xdr:row>2</xdr:row>
      <xdr:rowOff>260283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E01CE8E-FA9B-C702-8867-B32A7EDF8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6675"/>
          <a:ext cx="1188823" cy="688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carlos1990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secarlos1990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"/>
  <sheetViews>
    <sheetView zoomScaleNormal="10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U2" sqref="U2:U50"/>
    </sheetView>
  </sheetViews>
  <sheetFormatPr defaultRowHeight="15" x14ac:dyDescent="0.25"/>
  <cols>
    <col min="1" max="1" width="3.7109375" customWidth="1"/>
    <col min="2" max="2" width="6.140625" customWidth="1"/>
    <col min="3" max="3" width="15.7109375" customWidth="1"/>
    <col min="4" max="4" width="36.7109375" style="1" customWidth="1"/>
    <col min="5" max="5" width="14.7109375" customWidth="1"/>
    <col min="6" max="6" width="6.7109375" customWidth="1"/>
    <col min="7" max="7" width="10.7109375" customWidth="1"/>
    <col min="8" max="8" width="7.85546875" customWidth="1"/>
    <col min="9" max="9" width="13.7109375" customWidth="1"/>
    <col min="10" max="10" width="13.85546875" customWidth="1"/>
    <col min="11" max="11" width="10.7109375" customWidth="1"/>
    <col min="12" max="12" width="5.7109375" customWidth="1"/>
    <col min="13" max="13" width="5.28515625" customWidth="1"/>
    <col min="14" max="14" width="12.7109375" customWidth="1"/>
    <col min="15" max="15" width="10.7109375" customWidth="1"/>
    <col min="16" max="16" width="50.7109375" customWidth="1"/>
    <col min="17" max="17" width="35.7109375" customWidth="1"/>
    <col min="18" max="18" width="22.7109375" customWidth="1"/>
    <col min="19" max="19" width="20.7109375" customWidth="1"/>
    <col min="20" max="20" width="36.7109375" customWidth="1"/>
    <col min="21" max="21" width="5.7109375" customWidth="1"/>
    <col min="22" max="22" width="10.140625" customWidth="1"/>
    <col min="23" max="23" width="12.7109375" customWidth="1"/>
    <col min="24" max="24" width="36.7109375" customWidth="1"/>
    <col min="25" max="25" width="8.7109375" customWidth="1"/>
  </cols>
  <sheetData>
    <row r="1" spans="1:29" ht="75" customHeight="1" thickBot="1" x14ac:dyDescent="0.3">
      <c r="A1" s="23" t="s">
        <v>22</v>
      </c>
      <c r="B1" s="23" t="s">
        <v>35</v>
      </c>
      <c r="C1" s="24" t="s">
        <v>0</v>
      </c>
      <c r="D1" s="24" t="s">
        <v>57</v>
      </c>
      <c r="E1" s="24" t="s">
        <v>68</v>
      </c>
      <c r="F1" s="112" t="s">
        <v>69</v>
      </c>
      <c r="G1" s="24" t="s">
        <v>70</v>
      </c>
      <c r="H1" s="24" t="s">
        <v>71</v>
      </c>
      <c r="I1" s="28" t="s">
        <v>72</v>
      </c>
      <c r="J1" s="28" t="s">
        <v>73</v>
      </c>
      <c r="K1" s="30" t="s">
        <v>26</v>
      </c>
      <c r="L1" s="30" t="s">
        <v>30</v>
      </c>
      <c r="M1" s="25" t="s">
        <v>64</v>
      </c>
      <c r="N1" s="24" t="s">
        <v>65</v>
      </c>
      <c r="O1" s="26" t="s">
        <v>66</v>
      </c>
      <c r="P1" s="102" t="s">
        <v>74</v>
      </c>
      <c r="Q1" s="29" t="s">
        <v>75</v>
      </c>
      <c r="R1" s="27" t="s">
        <v>76</v>
      </c>
      <c r="S1" s="28" t="s">
        <v>77</v>
      </c>
      <c r="T1" s="27" t="s">
        <v>78</v>
      </c>
      <c r="U1" s="105" t="s">
        <v>79</v>
      </c>
      <c r="V1" s="30" t="s">
        <v>83</v>
      </c>
      <c r="W1" s="30" t="s">
        <v>80</v>
      </c>
      <c r="X1" s="28" t="s">
        <v>81</v>
      </c>
      <c r="Y1" s="106" t="s">
        <v>82</v>
      </c>
    </row>
    <row r="2" spans="1:29" ht="26.25" customHeight="1" thickBot="1" x14ac:dyDescent="0.3">
      <c r="A2" s="85">
        <v>1</v>
      </c>
      <c r="B2" s="91">
        <v>1347</v>
      </c>
      <c r="C2" s="92">
        <v>45902.368726851855</v>
      </c>
      <c r="D2" s="33" t="s">
        <v>54</v>
      </c>
      <c r="E2" s="48" t="s">
        <v>51</v>
      </c>
      <c r="F2" s="50" t="s">
        <v>34</v>
      </c>
      <c r="G2" s="51">
        <v>45969</v>
      </c>
      <c r="H2" s="50" t="s">
        <v>36</v>
      </c>
      <c r="I2" s="50" t="s">
        <v>48</v>
      </c>
      <c r="J2" s="50" t="s">
        <v>61</v>
      </c>
      <c r="K2" s="52">
        <v>36883</v>
      </c>
      <c r="L2" s="50">
        <v>25</v>
      </c>
      <c r="M2" s="83" t="s">
        <v>86</v>
      </c>
      <c r="N2" s="50" t="s">
        <v>67</v>
      </c>
      <c r="O2" s="32" t="s">
        <v>37</v>
      </c>
      <c r="P2" s="87" t="s">
        <v>55</v>
      </c>
      <c r="Q2" s="49" t="s">
        <v>49</v>
      </c>
      <c r="R2" s="34" t="s">
        <v>53</v>
      </c>
      <c r="S2" s="4" t="s">
        <v>47</v>
      </c>
      <c r="T2" s="33" t="s">
        <v>54</v>
      </c>
      <c r="U2" s="50" t="s">
        <v>1101</v>
      </c>
      <c r="V2" s="34" t="s">
        <v>52</v>
      </c>
      <c r="W2" s="50" t="s">
        <v>62</v>
      </c>
      <c r="X2" s="111" t="s">
        <v>87</v>
      </c>
      <c r="Y2" s="50" t="s">
        <v>50</v>
      </c>
      <c r="Z2" s="19"/>
      <c r="AA2" s="19"/>
      <c r="AB2" s="19"/>
      <c r="AC2" s="19"/>
    </row>
    <row r="3" spans="1:29" ht="26.25" customHeight="1" thickBot="1" x14ac:dyDescent="0.3">
      <c r="A3" s="86">
        <f t="shared" ref="A3:A50" si="0">A2+1</f>
        <v>2</v>
      </c>
      <c r="B3" s="37"/>
      <c r="C3" s="32">
        <v>2</v>
      </c>
      <c r="D3" s="33" t="s">
        <v>765</v>
      </c>
      <c r="E3" s="32" t="s">
        <v>818</v>
      </c>
      <c r="F3" s="20" t="s">
        <v>817</v>
      </c>
      <c r="G3" s="32" t="s">
        <v>816</v>
      </c>
      <c r="H3" s="32" t="s">
        <v>815</v>
      </c>
      <c r="I3" s="20" t="s">
        <v>814</v>
      </c>
      <c r="J3" s="20" t="s">
        <v>813</v>
      </c>
      <c r="K3" s="20" t="s">
        <v>717</v>
      </c>
      <c r="L3" s="20" t="s">
        <v>669</v>
      </c>
      <c r="M3" s="31" t="s">
        <v>621</v>
      </c>
      <c r="N3" s="32" t="s">
        <v>573</v>
      </c>
      <c r="O3" s="33" t="s">
        <v>525</v>
      </c>
      <c r="P3" s="33" t="s">
        <v>477</v>
      </c>
      <c r="Q3" s="33" t="s">
        <v>429</v>
      </c>
      <c r="R3" s="34" t="s">
        <v>381</v>
      </c>
      <c r="S3" s="34" t="s">
        <v>333</v>
      </c>
      <c r="T3" s="33" t="s">
        <v>93</v>
      </c>
      <c r="U3" s="50" t="s">
        <v>1102</v>
      </c>
      <c r="V3" s="34" t="s">
        <v>141</v>
      </c>
      <c r="W3" s="20" t="s">
        <v>189</v>
      </c>
      <c r="X3" s="32" t="s">
        <v>237</v>
      </c>
      <c r="Y3" s="32" t="s">
        <v>285</v>
      </c>
      <c r="Z3" s="19"/>
      <c r="AA3" s="19"/>
      <c r="AB3" s="19"/>
      <c r="AC3" s="19"/>
    </row>
    <row r="4" spans="1:29" ht="26.25" customHeight="1" thickBot="1" x14ac:dyDescent="0.3">
      <c r="A4" s="86">
        <f t="shared" si="0"/>
        <v>3</v>
      </c>
      <c r="B4" s="37"/>
      <c r="C4" s="33">
        <f>C3+1</f>
        <v>3</v>
      </c>
      <c r="D4" s="33" t="s">
        <v>766</v>
      </c>
      <c r="E4" s="32" t="s">
        <v>819</v>
      </c>
      <c r="F4" s="20" t="s">
        <v>820</v>
      </c>
      <c r="G4" s="32" t="s">
        <v>821</v>
      </c>
      <c r="H4" s="32" t="s">
        <v>822</v>
      </c>
      <c r="I4" s="20" t="s">
        <v>823</v>
      </c>
      <c r="J4" s="20" t="s">
        <v>824</v>
      </c>
      <c r="K4" s="20" t="s">
        <v>718</v>
      </c>
      <c r="L4" s="20" t="s">
        <v>670</v>
      </c>
      <c r="M4" s="31" t="s">
        <v>622</v>
      </c>
      <c r="N4" s="32" t="s">
        <v>574</v>
      </c>
      <c r="O4" s="33" t="s">
        <v>526</v>
      </c>
      <c r="P4" s="33" t="s">
        <v>478</v>
      </c>
      <c r="Q4" s="33" t="s">
        <v>430</v>
      </c>
      <c r="R4" s="34" t="s">
        <v>382</v>
      </c>
      <c r="S4" s="34" t="s">
        <v>334</v>
      </c>
      <c r="T4" s="33" t="s">
        <v>94</v>
      </c>
      <c r="U4" s="50" t="s">
        <v>1103</v>
      </c>
      <c r="V4" s="34" t="s">
        <v>142</v>
      </c>
      <c r="W4" s="20" t="s">
        <v>190</v>
      </c>
      <c r="X4" s="32" t="s">
        <v>238</v>
      </c>
      <c r="Y4" s="32" t="s">
        <v>286</v>
      </c>
      <c r="Z4" s="19"/>
      <c r="AA4" s="19"/>
      <c r="AB4" s="19"/>
      <c r="AC4" s="19"/>
    </row>
    <row r="5" spans="1:29" ht="26.25" customHeight="1" thickBot="1" x14ac:dyDescent="0.3">
      <c r="A5" s="86">
        <f t="shared" si="0"/>
        <v>4</v>
      </c>
      <c r="B5" s="37"/>
      <c r="C5" s="33">
        <f t="shared" ref="C5:C50" si="1">C4+1</f>
        <v>4</v>
      </c>
      <c r="D5" s="33" t="s">
        <v>767</v>
      </c>
      <c r="E5" s="32" t="s">
        <v>825</v>
      </c>
      <c r="F5" s="20" t="s">
        <v>826</v>
      </c>
      <c r="G5" s="32" t="s">
        <v>827</v>
      </c>
      <c r="H5" s="32" t="s">
        <v>828</v>
      </c>
      <c r="I5" s="20" t="s">
        <v>829</v>
      </c>
      <c r="J5" s="20" t="s">
        <v>830</v>
      </c>
      <c r="K5" s="20" t="s">
        <v>719</v>
      </c>
      <c r="L5" s="20" t="s">
        <v>671</v>
      </c>
      <c r="M5" s="31" t="s">
        <v>623</v>
      </c>
      <c r="N5" s="32" t="s">
        <v>575</v>
      </c>
      <c r="O5" s="33" t="s">
        <v>527</v>
      </c>
      <c r="P5" s="33" t="s">
        <v>479</v>
      </c>
      <c r="Q5" s="33" t="s">
        <v>431</v>
      </c>
      <c r="R5" s="34" t="s">
        <v>383</v>
      </c>
      <c r="S5" s="34" t="s">
        <v>335</v>
      </c>
      <c r="T5" s="33" t="s">
        <v>95</v>
      </c>
      <c r="U5" s="50" t="s">
        <v>1104</v>
      </c>
      <c r="V5" s="34" t="s">
        <v>143</v>
      </c>
      <c r="W5" s="20" t="s">
        <v>191</v>
      </c>
      <c r="X5" s="32" t="s">
        <v>239</v>
      </c>
      <c r="Y5" s="32" t="s">
        <v>287</v>
      </c>
      <c r="Z5" s="19"/>
      <c r="AA5" s="19"/>
      <c r="AB5" s="19"/>
      <c r="AC5" s="19"/>
    </row>
    <row r="6" spans="1:29" ht="26.25" customHeight="1" thickBot="1" x14ac:dyDescent="0.3">
      <c r="A6" s="86">
        <f t="shared" si="0"/>
        <v>5</v>
      </c>
      <c r="B6" s="37"/>
      <c r="C6" s="33">
        <f t="shared" si="1"/>
        <v>5</v>
      </c>
      <c r="D6" s="33" t="s">
        <v>768</v>
      </c>
      <c r="E6" s="32" t="s">
        <v>831</v>
      </c>
      <c r="F6" s="20" t="s">
        <v>832</v>
      </c>
      <c r="G6" s="32" t="s">
        <v>833</v>
      </c>
      <c r="H6" s="32" t="s">
        <v>834</v>
      </c>
      <c r="I6" s="20" t="s">
        <v>835</v>
      </c>
      <c r="J6" s="20" t="s">
        <v>836</v>
      </c>
      <c r="K6" s="20" t="s">
        <v>720</v>
      </c>
      <c r="L6" s="20" t="s">
        <v>672</v>
      </c>
      <c r="M6" s="31" t="s">
        <v>624</v>
      </c>
      <c r="N6" s="32" t="s">
        <v>576</v>
      </c>
      <c r="O6" s="33" t="s">
        <v>528</v>
      </c>
      <c r="P6" s="33" t="s">
        <v>480</v>
      </c>
      <c r="Q6" s="33" t="s">
        <v>432</v>
      </c>
      <c r="R6" s="34" t="s">
        <v>384</v>
      </c>
      <c r="S6" s="34" t="s">
        <v>336</v>
      </c>
      <c r="T6" s="33" t="s">
        <v>96</v>
      </c>
      <c r="U6" s="50" t="s">
        <v>1105</v>
      </c>
      <c r="V6" s="34" t="s">
        <v>144</v>
      </c>
      <c r="W6" s="20" t="s">
        <v>192</v>
      </c>
      <c r="X6" s="32" t="s">
        <v>240</v>
      </c>
      <c r="Y6" s="32" t="s">
        <v>288</v>
      </c>
      <c r="Z6" s="19"/>
      <c r="AA6" s="19"/>
      <c r="AB6" s="19"/>
      <c r="AC6" s="19"/>
    </row>
    <row r="7" spans="1:29" ht="26.25" customHeight="1" thickBot="1" x14ac:dyDescent="0.3">
      <c r="A7" s="86">
        <f t="shared" si="0"/>
        <v>6</v>
      </c>
      <c r="B7" s="37"/>
      <c r="C7" s="33">
        <f t="shared" si="1"/>
        <v>6</v>
      </c>
      <c r="D7" s="33" t="s">
        <v>769</v>
      </c>
      <c r="E7" s="32" t="s">
        <v>837</v>
      </c>
      <c r="F7" s="20" t="s">
        <v>838</v>
      </c>
      <c r="G7" s="32" t="s">
        <v>839</v>
      </c>
      <c r="H7" s="32" t="s">
        <v>840</v>
      </c>
      <c r="I7" s="20" t="s">
        <v>841</v>
      </c>
      <c r="J7" s="20" t="s">
        <v>842</v>
      </c>
      <c r="K7" s="20" t="s">
        <v>721</v>
      </c>
      <c r="L7" s="20" t="s">
        <v>673</v>
      </c>
      <c r="M7" s="31" t="s">
        <v>625</v>
      </c>
      <c r="N7" s="32" t="s">
        <v>577</v>
      </c>
      <c r="O7" s="33" t="s">
        <v>529</v>
      </c>
      <c r="P7" s="33" t="s">
        <v>481</v>
      </c>
      <c r="Q7" s="33" t="s">
        <v>433</v>
      </c>
      <c r="R7" s="34" t="s">
        <v>385</v>
      </c>
      <c r="S7" s="34" t="s">
        <v>337</v>
      </c>
      <c r="T7" s="33" t="s">
        <v>97</v>
      </c>
      <c r="U7" s="50" t="s">
        <v>1106</v>
      </c>
      <c r="V7" s="34" t="s">
        <v>145</v>
      </c>
      <c r="W7" s="20" t="s">
        <v>193</v>
      </c>
      <c r="X7" s="32" t="s">
        <v>241</v>
      </c>
      <c r="Y7" s="32" t="s">
        <v>289</v>
      </c>
      <c r="Z7" s="19"/>
      <c r="AA7" s="19"/>
      <c r="AB7" s="19"/>
      <c r="AC7" s="19"/>
    </row>
    <row r="8" spans="1:29" ht="26.25" customHeight="1" thickBot="1" x14ac:dyDescent="0.3">
      <c r="A8" s="86">
        <f t="shared" si="0"/>
        <v>7</v>
      </c>
      <c r="B8" s="37"/>
      <c r="C8" s="33">
        <f t="shared" si="1"/>
        <v>7</v>
      </c>
      <c r="D8" s="33" t="s">
        <v>770</v>
      </c>
      <c r="E8" s="32" t="s">
        <v>843</v>
      </c>
      <c r="F8" s="20" t="s">
        <v>844</v>
      </c>
      <c r="G8" s="32" t="s">
        <v>845</v>
      </c>
      <c r="H8" s="32" t="s">
        <v>846</v>
      </c>
      <c r="I8" s="20" t="s">
        <v>847</v>
      </c>
      <c r="J8" s="20" t="s">
        <v>848</v>
      </c>
      <c r="K8" s="20" t="s">
        <v>722</v>
      </c>
      <c r="L8" s="20" t="s">
        <v>674</v>
      </c>
      <c r="M8" s="31" t="s">
        <v>626</v>
      </c>
      <c r="N8" s="32" t="s">
        <v>578</v>
      </c>
      <c r="O8" s="33" t="s">
        <v>530</v>
      </c>
      <c r="P8" s="33" t="s">
        <v>482</v>
      </c>
      <c r="Q8" s="33" t="s">
        <v>434</v>
      </c>
      <c r="R8" s="34" t="s">
        <v>386</v>
      </c>
      <c r="S8" s="34" t="s">
        <v>338</v>
      </c>
      <c r="T8" s="33" t="s">
        <v>98</v>
      </c>
      <c r="U8" s="50" t="s">
        <v>1107</v>
      </c>
      <c r="V8" s="34" t="s">
        <v>146</v>
      </c>
      <c r="W8" s="20" t="s">
        <v>194</v>
      </c>
      <c r="X8" s="32" t="s">
        <v>242</v>
      </c>
      <c r="Y8" s="32" t="s">
        <v>290</v>
      </c>
      <c r="Z8" s="19"/>
      <c r="AA8" s="19"/>
      <c r="AB8" s="19"/>
      <c r="AC8" s="19"/>
    </row>
    <row r="9" spans="1:29" ht="26.25" customHeight="1" thickBot="1" x14ac:dyDescent="0.3">
      <c r="A9" s="86">
        <f t="shared" si="0"/>
        <v>8</v>
      </c>
      <c r="B9" s="37"/>
      <c r="C9" s="33">
        <f t="shared" si="1"/>
        <v>8</v>
      </c>
      <c r="D9" s="33" t="s">
        <v>771</v>
      </c>
      <c r="E9" s="32" t="s">
        <v>849</v>
      </c>
      <c r="F9" s="20" t="s">
        <v>850</v>
      </c>
      <c r="G9" s="32" t="s">
        <v>851</v>
      </c>
      <c r="H9" s="32" t="s">
        <v>852</v>
      </c>
      <c r="I9" s="20" t="s">
        <v>853</v>
      </c>
      <c r="J9" s="20" t="s">
        <v>854</v>
      </c>
      <c r="K9" s="20" t="s">
        <v>723</v>
      </c>
      <c r="L9" s="20" t="s">
        <v>675</v>
      </c>
      <c r="M9" s="31" t="s">
        <v>627</v>
      </c>
      <c r="N9" s="32" t="s">
        <v>579</v>
      </c>
      <c r="O9" s="33" t="s">
        <v>531</v>
      </c>
      <c r="P9" s="33" t="s">
        <v>483</v>
      </c>
      <c r="Q9" s="33" t="s">
        <v>435</v>
      </c>
      <c r="R9" s="34" t="s">
        <v>387</v>
      </c>
      <c r="S9" s="34" t="s">
        <v>339</v>
      </c>
      <c r="T9" s="33" t="s">
        <v>99</v>
      </c>
      <c r="U9" s="50" t="s">
        <v>1108</v>
      </c>
      <c r="V9" s="34" t="s">
        <v>147</v>
      </c>
      <c r="W9" s="20" t="s">
        <v>195</v>
      </c>
      <c r="X9" s="32" t="s">
        <v>243</v>
      </c>
      <c r="Y9" s="32" t="s">
        <v>291</v>
      </c>
      <c r="Z9" s="19"/>
      <c r="AA9" s="19"/>
      <c r="AB9" s="19"/>
      <c r="AC9" s="19"/>
    </row>
    <row r="10" spans="1:29" ht="26.25" customHeight="1" thickBot="1" x14ac:dyDescent="0.3">
      <c r="A10" s="86">
        <f t="shared" si="0"/>
        <v>9</v>
      </c>
      <c r="B10" s="37"/>
      <c r="C10" s="33">
        <f t="shared" si="1"/>
        <v>9</v>
      </c>
      <c r="D10" s="33" t="s">
        <v>772</v>
      </c>
      <c r="E10" s="32" t="s">
        <v>855</v>
      </c>
      <c r="F10" s="20" t="s">
        <v>856</v>
      </c>
      <c r="G10" s="32" t="s">
        <v>857</v>
      </c>
      <c r="H10" s="32" t="s">
        <v>858</v>
      </c>
      <c r="I10" s="20" t="s">
        <v>859</v>
      </c>
      <c r="J10" s="20" t="s">
        <v>860</v>
      </c>
      <c r="K10" s="20" t="s">
        <v>724</v>
      </c>
      <c r="L10" s="20" t="s">
        <v>676</v>
      </c>
      <c r="M10" s="31" t="s">
        <v>628</v>
      </c>
      <c r="N10" s="32" t="s">
        <v>580</v>
      </c>
      <c r="O10" s="33" t="s">
        <v>532</v>
      </c>
      <c r="P10" s="33" t="s">
        <v>484</v>
      </c>
      <c r="Q10" s="33" t="s">
        <v>436</v>
      </c>
      <c r="R10" s="34" t="s">
        <v>388</v>
      </c>
      <c r="S10" s="34" t="s">
        <v>340</v>
      </c>
      <c r="T10" s="33" t="s">
        <v>100</v>
      </c>
      <c r="U10" s="50" t="s">
        <v>1109</v>
      </c>
      <c r="V10" s="34" t="s">
        <v>148</v>
      </c>
      <c r="W10" s="20" t="s">
        <v>196</v>
      </c>
      <c r="X10" s="32" t="s">
        <v>244</v>
      </c>
      <c r="Y10" s="32" t="s">
        <v>292</v>
      </c>
      <c r="Z10" s="19"/>
      <c r="AA10" s="19"/>
      <c r="AB10" s="19"/>
      <c r="AC10" s="19"/>
    </row>
    <row r="11" spans="1:29" ht="26.25" customHeight="1" thickBot="1" x14ac:dyDescent="0.3">
      <c r="A11" s="86">
        <f t="shared" si="0"/>
        <v>10</v>
      </c>
      <c r="B11" s="37"/>
      <c r="C11" s="33">
        <f t="shared" si="1"/>
        <v>10</v>
      </c>
      <c r="D11" s="33" t="s">
        <v>773</v>
      </c>
      <c r="E11" s="32" t="s">
        <v>861</v>
      </c>
      <c r="F11" s="20" t="s">
        <v>862</v>
      </c>
      <c r="G11" s="32" t="s">
        <v>863</v>
      </c>
      <c r="H11" s="32" t="s">
        <v>864</v>
      </c>
      <c r="I11" s="20" t="s">
        <v>865</v>
      </c>
      <c r="J11" s="20" t="s">
        <v>866</v>
      </c>
      <c r="K11" s="20" t="s">
        <v>725</v>
      </c>
      <c r="L11" s="20" t="s">
        <v>677</v>
      </c>
      <c r="M11" s="31" t="s">
        <v>629</v>
      </c>
      <c r="N11" s="32" t="s">
        <v>581</v>
      </c>
      <c r="O11" s="33" t="s">
        <v>533</v>
      </c>
      <c r="P11" s="33" t="s">
        <v>485</v>
      </c>
      <c r="Q11" s="33" t="s">
        <v>437</v>
      </c>
      <c r="R11" s="34" t="s">
        <v>389</v>
      </c>
      <c r="S11" s="34" t="s">
        <v>341</v>
      </c>
      <c r="T11" s="33" t="s">
        <v>101</v>
      </c>
      <c r="U11" s="50" t="s">
        <v>1110</v>
      </c>
      <c r="V11" s="34" t="s">
        <v>149</v>
      </c>
      <c r="W11" s="20" t="s">
        <v>197</v>
      </c>
      <c r="X11" s="32" t="s">
        <v>245</v>
      </c>
      <c r="Y11" s="32" t="s">
        <v>293</v>
      </c>
      <c r="Z11" s="19"/>
      <c r="AA11" s="19"/>
      <c r="AB11" s="19"/>
      <c r="AC11" s="19"/>
    </row>
    <row r="12" spans="1:29" ht="26.25" customHeight="1" thickBot="1" x14ac:dyDescent="0.3">
      <c r="A12" s="86">
        <f t="shared" si="0"/>
        <v>11</v>
      </c>
      <c r="B12" s="37"/>
      <c r="C12" s="33">
        <f t="shared" si="1"/>
        <v>11</v>
      </c>
      <c r="D12" s="33" t="s">
        <v>774</v>
      </c>
      <c r="E12" s="32" t="s">
        <v>867</v>
      </c>
      <c r="F12" s="20" t="s">
        <v>868</v>
      </c>
      <c r="G12" s="32" t="s">
        <v>869</v>
      </c>
      <c r="H12" s="32" t="s">
        <v>870</v>
      </c>
      <c r="I12" s="20" t="s">
        <v>871</v>
      </c>
      <c r="J12" s="20" t="s">
        <v>872</v>
      </c>
      <c r="K12" s="20" t="s">
        <v>726</v>
      </c>
      <c r="L12" s="20" t="s">
        <v>678</v>
      </c>
      <c r="M12" s="31" t="s">
        <v>630</v>
      </c>
      <c r="N12" s="32" t="s">
        <v>582</v>
      </c>
      <c r="O12" s="33" t="s">
        <v>534</v>
      </c>
      <c r="P12" s="33" t="s">
        <v>486</v>
      </c>
      <c r="Q12" s="33" t="s">
        <v>438</v>
      </c>
      <c r="R12" s="34" t="s">
        <v>390</v>
      </c>
      <c r="S12" s="34" t="s">
        <v>342</v>
      </c>
      <c r="T12" s="33" t="s">
        <v>102</v>
      </c>
      <c r="U12" s="50" t="s">
        <v>1111</v>
      </c>
      <c r="V12" s="34" t="s">
        <v>150</v>
      </c>
      <c r="W12" s="20" t="s">
        <v>198</v>
      </c>
      <c r="X12" s="32" t="s">
        <v>246</v>
      </c>
      <c r="Y12" s="32" t="s">
        <v>294</v>
      </c>
      <c r="Z12" s="19"/>
      <c r="AA12" s="19"/>
      <c r="AB12" s="19"/>
      <c r="AC12" s="19"/>
    </row>
    <row r="13" spans="1:29" s="7" customFormat="1" ht="26.25" customHeight="1" thickBot="1" x14ac:dyDescent="0.3">
      <c r="A13" s="86">
        <f t="shared" si="0"/>
        <v>12</v>
      </c>
      <c r="B13" s="37"/>
      <c r="C13" s="33">
        <f t="shared" si="1"/>
        <v>12</v>
      </c>
      <c r="D13" s="33" t="s">
        <v>775</v>
      </c>
      <c r="E13" s="32" t="s">
        <v>873</v>
      </c>
      <c r="F13" s="20" t="s">
        <v>874</v>
      </c>
      <c r="G13" s="32" t="s">
        <v>875</v>
      </c>
      <c r="H13" s="32" t="s">
        <v>876</v>
      </c>
      <c r="I13" s="20" t="s">
        <v>877</v>
      </c>
      <c r="J13" s="20" t="s">
        <v>878</v>
      </c>
      <c r="K13" s="20" t="s">
        <v>727</v>
      </c>
      <c r="L13" s="20" t="s">
        <v>679</v>
      </c>
      <c r="M13" s="31" t="s">
        <v>631</v>
      </c>
      <c r="N13" s="32" t="s">
        <v>583</v>
      </c>
      <c r="O13" s="33" t="s">
        <v>535</v>
      </c>
      <c r="P13" s="33" t="s">
        <v>487</v>
      </c>
      <c r="Q13" s="33" t="s">
        <v>439</v>
      </c>
      <c r="R13" s="34" t="s">
        <v>391</v>
      </c>
      <c r="S13" s="34" t="s">
        <v>343</v>
      </c>
      <c r="T13" s="33" t="s">
        <v>103</v>
      </c>
      <c r="U13" s="50" t="s">
        <v>1112</v>
      </c>
      <c r="V13" s="34" t="s">
        <v>151</v>
      </c>
      <c r="W13" s="20" t="s">
        <v>199</v>
      </c>
      <c r="X13" s="32" t="s">
        <v>247</v>
      </c>
      <c r="Y13" s="32" t="s">
        <v>295</v>
      </c>
      <c r="Z13" s="19"/>
      <c r="AA13" s="19"/>
      <c r="AB13" s="19"/>
      <c r="AC13" s="19"/>
    </row>
    <row r="14" spans="1:29" ht="16.5" customHeight="1" thickBot="1" x14ac:dyDescent="0.3">
      <c r="A14" s="86">
        <f t="shared" si="0"/>
        <v>13</v>
      </c>
      <c r="B14" s="37"/>
      <c r="C14" s="33">
        <f t="shared" si="1"/>
        <v>13</v>
      </c>
      <c r="D14" s="33" t="s">
        <v>776</v>
      </c>
      <c r="E14" s="32" t="s">
        <v>879</v>
      </c>
      <c r="F14" s="20" t="s">
        <v>880</v>
      </c>
      <c r="G14" s="32" t="s">
        <v>881</v>
      </c>
      <c r="H14" s="32" t="s">
        <v>882</v>
      </c>
      <c r="I14" s="20" t="s">
        <v>883</v>
      </c>
      <c r="J14" s="20" t="s">
        <v>884</v>
      </c>
      <c r="K14" s="20" t="s">
        <v>728</v>
      </c>
      <c r="L14" s="20" t="s">
        <v>680</v>
      </c>
      <c r="M14" s="31" t="s">
        <v>632</v>
      </c>
      <c r="N14" s="32" t="s">
        <v>584</v>
      </c>
      <c r="O14" s="33" t="s">
        <v>536</v>
      </c>
      <c r="P14" s="33" t="s">
        <v>488</v>
      </c>
      <c r="Q14" s="33" t="s">
        <v>440</v>
      </c>
      <c r="R14" s="34" t="s">
        <v>392</v>
      </c>
      <c r="S14" s="34" t="s">
        <v>344</v>
      </c>
      <c r="T14" s="33" t="s">
        <v>104</v>
      </c>
      <c r="U14" s="50" t="s">
        <v>1113</v>
      </c>
      <c r="V14" s="34" t="s">
        <v>152</v>
      </c>
      <c r="W14" s="20" t="s">
        <v>200</v>
      </c>
      <c r="X14" s="32" t="s">
        <v>248</v>
      </c>
      <c r="Y14" s="32" t="s">
        <v>296</v>
      </c>
      <c r="Z14" s="19"/>
      <c r="AA14" s="19"/>
      <c r="AB14" s="19"/>
      <c r="AC14" s="19"/>
    </row>
    <row r="15" spans="1:29" ht="16.5" customHeight="1" thickBot="1" x14ac:dyDescent="0.3">
      <c r="A15" s="86">
        <f t="shared" si="0"/>
        <v>14</v>
      </c>
      <c r="B15" s="37"/>
      <c r="C15" s="33">
        <f t="shared" si="1"/>
        <v>14</v>
      </c>
      <c r="D15" s="33" t="s">
        <v>777</v>
      </c>
      <c r="E15" s="32" t="s">
        <v>885</v>
      </c>
      <c r="F15" s="20" t="s">
        <v>886</v>
      </c>
      <c r="G15" s="32" t="s">
        <v>887</v>
      </c>
      <c r="H15" s="32" t="s">
        <v>888</v>
      </c>
      <c r="I15" s="20" t="s">
        <v>889</v>
      </c>
      <c r="J15" s="20" t="s">
        <v>890</v>
      </c>
      <c r="K15" s="20" t="s">
        <v>729</v>
      </c>
      <c r="L15" s="20" t="s">
        <v>681</v>
      </c>
      <c r="M15" s="31" t="s">
        <v>633</v>
      </c>
      <c r="N15" s="32" t="s">
        <v>585</v>
      </c>
      <c r="O15" s="33" t="s">
        <v>537</v>
      </c>
      <c r="P15" s="33" t="s">
        <v>489</v>
      </c>
      <c r="Q15" s="33" t="s">
        <v>441</v>
      </c>
      <c r="R15" s="34" t="s">
        <v>393</v>
      </c>
      <c r="S15" s="34" t="s">
        <v>345</v>
      </c>
      <c r="T15" s="33" t="s">
        <v>105</v>
      </c>
      <c r="U15" s="50" t="s">
        <v>1114</v>
      </c>
      <c r="V15" s="34" t="s">
        <v>153</v>
      </c>
      <c r="W15" s="20" t="s">
        <v>201</v>
      </c>
      <c r="X15" s="32" t="s">
        <v>249</v>
      </c>
      <c r="Y15" s="32" t="s">
        <v>297</v>
      </c>
      <c r="Z15" s="19"/>
      <c r="AA15" s="19"/>
      <c r="AB15" s="19"/>
      <c r="AC15" s="19"/>
    </row>
    <row r="16" spans="1:29" ht="26.25" customHeight="1" thickBot="1" x14ac:dyDescent="0.3">
      <c r="A16" s="86">
        <f t="shared" si="0"/>
        <v>15</v>
      </c>
      <c r="B16" s="37"/>
      <c r="C16" s="33">
        <f t="shared" si="1"/>
        <v>15</v>
      </c>
      <c r="D16" s="33" t="s">
        <v>778</v>
      </c>
      <c r="E16" s="32" t="s">
        <v>891</v>
      </c>
      <c r="F16" s="20" t="s">
        <v>892</v>
      </c>
      <c r="G16" s="32" t="s">
        <v>893</v>
      </c>
      <c r="H16" s="32" t="s">
        <v>894</v>
      </c>
      <c r="I16" s="20" t="s">
        <v>895</v>
      </c>
      <c r="J16" s="20" t="s">
        <v>896</v>
      </c>
      <c r="K16" s="20" t="s">
        <v>730</v>
      </c>
      <c r="L16" s="20" t="s">
        <v>682</v>
      </c>
      <c r="M16" s="31" t="s">
        <v>634</v>
      </c>
      <c r="N16" s="32" t="s">
        <v>586</v>
      </c>
      <c r="O16" s="33" t="s">
        <v>538</v>
      </c>
      <c r="P16" s="33" t="s">
        <v>490</v>
      </c>
      <c r="Q16" s="33" t="s">
        <v>442</v>
      </c>
      <c r="R16" s="34" t="s">
        <v>394</v>
      </c>
      <c r="S16" s="34" t="s">
        <v>346</v>
      </c>
      <c r="T16" s="33" t="s">
        <v>106</v>
      </c>
      <c r="U16" s="50" t="s">
        <v>1115</v>
      </c>
      <c r="V16" s="34" t="s">
        <v>154</v>
      </c>
      <c r="W16" s="20" t="s">
        <v>202</v>
      </c>
      <c r="X16" s="32" t="s">
        <v>250</v>
      </c>
      <c r="Y16" s="32" t="s">
        <v>298</v>
      </c>
      <c r="Z16" s="19"/>
      <c r="AA16" s="19"/>
      <c r="AB16" s="19"/>
      <c r="AC16" s="19"/>
    </row>
    <row r="17" spans="1:29" ht="16.5" customHeight="1" thickBot="1" x14ac:dyDescent="0.3">
      <c r="A17" s="86">
        <f t="shared" si="0"/>
        <v>16</v>
      </c>
      <c r="B17" s="37"/>
      <c r="C17" s="33">
        <f t="shared" si="1"/>
        <v>16</v>
      </c>
      <c r="D17" s="33" t="s">
        <v>779</v>
      </c>
      <c r="E17" s="32" t="s">
        <v>897</v>
      </c>
      <c r="F17" s="20" t="s">
        <v>898</v>
      </c>
      <c r="G17" s="32" t="s">
        <v>899</v>
      </c>
      <c r="H17" s="32" t="s">
        <v>900</v>
      </c>
      <c r="I17" s="20" t="s">
        <v>901</v>
      </c>
      <c r="J17" s="20" t="s">
        <v>902</v>
      </c>
      <c r="K17" s="20" t="s">
        <v>731</v>
      </c>
      <c r="L17" s="20" t="s">
        <v>683</v>
      </c>
      <c r="M17" s="31" t="s">
        <v>635</v>
      </c>
      <c r="N17" s="32" t="s">
        <v>587</v>
      </c>
      <c r="O17" s="33" t="s">
        <v>539</v>
      </c>
      <c r="P17" s="33" t="s">
        <v>491</v>
      </c>
      <c r="Q17" s="33" t="s">
        <v>443</v>
      </c>
      <c r="R17" s="34" t="s">
        <v>395</v>
      </c>
      <c r="S17" s="34" t="s">
        <v>347</v>
      </c>
      <c r="T17" s="33" t="s">
        <v>107</v>
      </c>
      <c r="U17" s="50" t="s">
        <v>1116</v>
      </c>
      <c r="V17" s="34" t="s">
        <v>155</v>
      </c>
      <c r="W17" s="20" t="s">
        <v>203</v>
      </c>
      <c r="X17" s="32" t="s">
        <v>251</v>
      </c>
      <c r="Y17" s="32" t="s">
        <v>299</v>
      </c>
      <c r="Z17" s="19"/>
      <c r="AA17" s="19"/>
      <c r="AB17" s="19"/>
      <c r="AC17" s="19"/>
    </row>
    <row r="18" spans="1:29" ht="26.25" customHeight="1" thickBot="1" x14ac:dyDescent="0.3">
      <c r="A18" s="86">
        <f t="shared" si="0"/>
        <v>17</v>
      </c>
      <c r="B18" s="37"/>
      <c r="C18" s="33">
        <f t="shared" si="1"/>
        <v>17</v>
      </c>
      <c r="D18" s="33" t="s">
        <v>780</v>
      </c>
      <c r="E18" s="32" t="s">
        <v>903</v>
      </c>
      <c r="F18" s="20" t="s">
        <v>904</v>
      </c>
      <c r="G18" s="32" t="s">
        <v>905</v>
      </c>
      <c r="H18" s="32" t="s">
        <v>906</v>
      </c>
      <c r="I18" s="20" t="s">
        <v>907</v>
      </c>
      <c r="J18" s="20" t="s">
        <v>908</v>
      </c>
      <c r="K18" s="20" t="s">
        <v>732</v>
      </c>
      <c r="L18" s="20" t="s">
        <v>684</v>
      </c>
      <c r="M18" s="31" t="s">
        <v>636</v>
      </c>
      <c r="N18" s="32" t="s">
        <v>588</v>
      </c>
      <c r="O18" s="33" t="s">
        <v>540</v>
      </c>
      <c r="P18" s="33" t="s">
        <v>492</v>
      </c>
      <c r="Q18" s="33" t="s">
        <v>444</v>
      </c>
      <c r="R18" s="34" t="s">
        <v>396</v>
      </c>
      <c r="S18" s="34" t="s">
        <v>348</v>
      </c>
      <c r="T18" s="33" t="s">
        <v>108</v>
      </c>
      <c r="U18" s="50" t="s">
        <v>1117</v>
      </c>
      <c r="V18" s="34" t="s">
        <v>156</v>
      </c>
      <c r="W18" s="20" t="s">
        <v>204</v>
      </c>
      <c r="X18" s="32" t="s">
        <v>252</v>
      </c>
      <c r="Y18" s="32" t="s">
        <v>300</v>
      </c>
      <c r="Z18" s="19"/>
      <c r="AA18" s="19"/>
      <c r="AB18" s="19"/>
      <c r="AC18" s="19"/>
    </row>
    <row r="19" spans="1:29" ht="16.5" customHeight="1" thickBot="1" x14ac:dyDescent="0.3">
      <c r="A19" s="86">
        <f t="shared" si="0"/>
        <v>18</v>
      </c>
      <c r="B19" s="37"/>
      <c r="C19" s="33">
        <f t="shared" si="1"/>
        <v>18</v>
      </c>
      <c r="D19" s="33" t="s">
        <v>781</v>
      </c>
      <c r="E19" s="32" t="s">
        <v>909</v>
      </c>
      <c r="F19" s="20" t="s">
        <v>910</v>
      </c>
      <c r="G19" s="32" t="s">
        <v>911</v>
      </c>
      <c r="H19" s="32" t="s">
        <v>912</v>
      </c>
      <c r="I19" s="20" t="s">
        <v>913</v>
      </c>
      <c r="J19" s="20" t="s">
        <v>914</v>
      </c>
      <c r="K19" s="20" t="s">
        <v>733</v>
      </c>
      <c r="L19" s="20" t="s">
        <v>685</v>
      </c>
      <c r="M19" s="31" t="s">
        <v>637</v>
      </c>
      <c r="N19" s="32" t="s">
        <v>589</v>
      </c>
      <c r="O19" s="33" t="s">
        <v>541</v>
      </c>
      <c r="P19" s="33" t="s">
        <v>493</v>
      </c>
      <c r="Q19" s="33" t="s">
        <v>445</v>
      </c>
      <c r="R19" s="34" t="s">
        <v>397</v>
      </c>
      <c r="S19" s="34" t="s">
        <v>349</v>
      </c>
      <c r="T19" s="33" t="s">
        <v>109</v>
      </c>
      <c r="U19" s="50" t="s">
        <v>1118</v>
      </c>
      <c r="V19" s="34" t="s">
        <v>157</v>
      </c>
      <c r="W19" s="20" t="s">
        <v>205</v>
      </c>
      <c r="X19" s="32" t="s">
        <v>253</v>
      </c>
      <c r="Y19" s="32" t="s">
        <v>301</v>
      </c>
      <c r="Z19" s="19"/>
      <c r="AA19" s="19"/>
      <c r="AB19" s="19"/>
      <c r="AC19" s="19"/>
    </row>
    <row r="20" spans="1:29" ht="16.5" customHeight="1" thickBot="1" x14ac:dyDescent="0.3">
      <c r="A20" s="86">
        <f t="shared" si="0"/>
        <v>19</v>
      </c>
      <c r="B20" s="37"/>
      <c r="C20" s="33">
        <f t="shared" si="1"/>
        <v>19</v>
      </c>
      <c r="D20" s="33" t="s">
        <v>782</v>
      </c>
      <c r="E20" s="32" t="s">
        <v>915</v>
      </c>
      <c r="F20" s="20" t="s">
        <v>916</v>
      </c>
      <c r="G20" s="32" t="s">
        <v>917</v>
      </c>
      <c r="H20" s="32" t="s">
        <v>918</v>
      </c>
      <c r="I20" s="20" t="s">
        <v>919</v>
      </c>
      <c r="J20" s="20" t="s">
        <v>920</v>
      </c>
      <c r="K20" s="20" t="s">
        <v>734</v>
      </c>
      <c r="L20" s="20" t="s">
        <v>686</v>
      </c>
      <c r="M20" s="31" t="s">
        <v>638</v>
      </c>
      <c r="N20" s="32" t="s">
        <v>590</v>
      </c>
      <c r="O20" s="33" t="s">
        <v>542</v>
      </c>
      <c r="P20" s="33" t="s">
        <v>494</v>
      </c>
      <c r="Q20" s="33" t="s">
        <v>446</v>
      </c>
      <c r="R20" s="34" t="s">
        <v>398</v>
      </c>
      <c r="S20" s="34" t="s">
        <v>350</v>
      </c>
      <c r="T20" s="33" t="s">
        <v>110</v>
      </c>
      <c r="U20" s="50" t="s">
        <v>1119</v>
      </c>
      <c r="V20" s="34" t="s">
        <v>158</v>
      </c>
      <c r="W20" s="20" t="s">
        <v>206</v>
      </c>
      <c r="X20" s="32" t="s">
        <v>254</v>
      </c>
      <c r="Y20" s="32" t="s">
        <v>302</v>
      </c>
      <c r="Z20" s="19"/>
      <c r="AA20" s="19"/>
      <c r="AB20" s="19"/>
      <c r="AC20" s="19"/>
    </row>
    <row r="21" spans="1:29" ht="16.5" customHeight="1" thickBot="1" x14ac:dyDescent="0.3">
      <c r="A21" s="86">
        <f t="shared" si="0"/>
        <v>20</v>
      </c>
      <c r="B21" s="37"/>
      <c r="C21" s="33">
        <f t="shared" si="1"/>
        <v>20</v>
      </c>
      <c r="D21" s="33" t="s">
        <v>783</v>
      </c>
      <c r="E21" s="32" t="s">
        <v>921</v>
      </c>
      <c r="F21" s="20" t="s">
        <v>922</v>
      </c>
      <c r="G21" s="32" t="s">
        <v>923</v>
      </c>
      <c r="H21" s="32" t="s">
        <v>924</v>
      </c>
      <c r="I21" s="20" t="s">
        <v>925</v>
      </c>
      <c r="J21" s="20" t="s">
        <v>926</v>
      </c>
      <c r="K21" s="20" t="s">
        <v>735</v>
      </c>
      <c r="L21" s="20" t="s">
        <v>687</v>
      </c>
      <c r="M21" s="31" t="s">
        <v>639</v>
      </c>
      <c r="N21" s="32" t="s">
        <v>591</v>
      </c>
      <c r="O21" s="33" t="s">
        <v>543</v>
      </c>
      <c r="P21" s="33" t="s">
        <v>495</v>
      </c>
      <c r="Q21" s="33" t="s">
        <v>447</v>
      </c>
      <c r="R21" s="34" t="s">
        <v>399</v>
      </c>
      <c r="S21" s="34" t="s">
        <v>351</v>
      </c>
      <c r="T21" s="33" t="s">
        <v>111</v>
      </c>
      <c r="U21" s="50" t="s">
        <v>1120</v>
      </c>
      <c r="V21" s="34" t="s">
        <v>159</v>
      </c>
      <c r="W21" s="20" t="s">
        <v>207</v>
      </c>
      <c r="X21" s="32" t="s">
        <v>255</v>
      </c>
      <c r="Y21" s="32" t="s">
        <v>303</v>
      </c>
      <c r="Z21" s="19"/>
      <c r="AA21" s="19"/>
      <c r="AB21" s="19"/>
      <c r="AC21" s="19"/>
    </row>
    <row r="22" spans="1:29" ht="16.5" customHeight="1" thickBot="1" x14ac:dyDescent="0.3">
      <c r="A22" s="86">
        <f t="shared" si="0"/>
        <v>21</v>
      </c>
      <c r="B22" s="37"/>
      <c r="C22" s="33">
        <f t="shared" si="1"/>
        <v>21</v>
      </c>
      <c r="D22" s="33" t="s">
        <v>784</v>
      </c>
      <c r="E22" s="32" t="s">
        <v>927</v>
      </c>
      <c r="F22" s="20" t="s">
        <v>928</v>
      </c>
      <c r="G22" s="32" t="s">
        <v>929</v>
      </c>
      <c r="H22" s="32" t="s">
        <v>930</v>
      </c>
      <c r="I22" s="20" t="s">
        <v>931</v>
      </c>
      <c r="J22" s="20" t="s">
        <v>932</v>
      </c>
      <c r="K22" s="20" t="s">
        <v>736</v>
      </c>
      <c r="L22" s="20" t="s">
        <v>688</v>
      </c>
      <c r="M22" s="31" t="s">
        <v>640</v>
      </c>
      <c r="N22" s="32" t="s">
        <v>592</v>
      </c>
      <c r="O22" s="33" t="s">
        <v>544</v>
      </c>
      <c r="P22" s="33" t="s">
        <v>496</v>
      </c>
      <c r="Q22" s="33" t="s">
        <v>448</v>
      </c>
      <c r="R22" s="34" t="s">
        <v>400</v>
      </c>
      <c r="S22" s="34" t="s">
        <v>352</v>
      </c>
      <c r="T22" s="33" t="s">
        <v>112</v>
      </c>
      <c r="U22" s="50" t="s">
        <v>1121</v>
      </c>
      <c r="V22" s="34" t="s">
        <v>160</v>
      </c>
      <c r="W22" s="20" t="s">
        <v>208</v>
      </c>
      <c r="X22" s="32" t="s">
        <v>256</v>
      </c>
      <c r="Y22" s="32" t="s">
        <v>304</v>
      </c>
      <c r="Z22" s="19"/>
      <c r="AA22" s="19"/>
      <c r="AB22" s="19"/>
      <c r="AC22" s="19"/>
    </row>
    <row r="23" spans="1:29" ht="50.25" customHeight="1" thickBot="1" x14ac:dyDescent="0.3">
      <c r="A23" s="86">
        <f t="shared" si="0"/>
        <v>22</v>
      </c>
      <c r="B23" s="37"/>
      <c r="C23" s="33">
        <f t="shared" si="1"/>
        <v>22</v>
      </c>
      <c r="D23" s="33" t="s">
        <v>785</v>
      </c>
      <c r="E23" s="32" t="s">
        <v>933</v>
      </c>
      <c r="F23" s="20" t="s">
        <v>934</v>
      </c>
      <c r="G23" s="32" t="s">
        <v>935</v>
      </c>
      <c r="H23" s="32" t="s">
        <v>936</v>
      </c>
      <c r="I23" s="20" t="s">
        <v>937</v>
      </c>
      <c r="J23" s="20" t="s">
        <v>938</v>
      </c>
      <c r="K23" s="20" t="s">
        <v>737</v>
      </c>
      <c r="L23" s="20" t="s">
        <v>689</v>
      </c>
      <c r="M23" s="31" t="s">
        <v>641</v>
      </c>
      <c r="N23" s="32" t="s">
        <v>593</v>
      </c>
      <c r="O23" s="33" t="s">
        <v>545</v>
      </c>
      <c r="P23" s="33" t="s">
        <v>497</v>
      </c>
      <c r="Q23" s="33" t="s">
        <v>449</v>
      </c>
      <c r="R23" s="34" t="s">
        <v>401</v>
      </c>
      <c r="S23" s="34" t="s">
        <v>353</v>
      </c>
      <c r="T23" s="33" t="s">
        <v>113</v>
      </c>
      <c r="U23" s="50" t="s">
        <v>1122</v>
      </c>
      <c r="V23" s="34" t="s">
        <v>161</v>
      </c>
      <c r="W23" s="20" t="s">
        <v>209</v>
      </c>
      <c r="X23" s="32" t="s">
        <v>257</v>
      </c>
      <c r="Y23" s="32" t="s">
        <v>305</v>
      </c>
      <c r="Z23" s="19"/>
      <c r="AA23" s="19"/>
      <c r="AB23" s="19"/>
      <c r="AC23" s="19"/>
    </row>
    <row r="24" spans="1:29" ht="16.5" customHeight="1" thickBot="1" x14ac:dyDescent="0.3">
      <c r="A24" s="86">
        <f t="shared" si="0"/>
        <v>23</v>
      </c>
      <c r="B24" s="37"/>
      <c r="C24" s="33">
        <f t="shared" si="1"/>
        <v>23</v>
      </c>
      <c r="D24" s="33" t="s">
        <v>786</v>
      </c>
      <c r="E24" s="32" t="s">
        <v>939</v>
      </c>
      <c r="F24" s="20" t="s">
        <v>940</v>
      </c>
      <c r="G24" s="32" t="s">
        <v>941</v>
      </c>
      <c r="H24" s="32" t="s">
        <v>942</v>
      </c>
      <c r="I24" s="20" t="s">
        <v>943</v>
      </c>
      <c r="J24" s="20" t="s">
        <v>944</v>
      </c>
      <c r="K24" s="20" t="s">
        <v>738</v>
      </c>
      <c r="L24" s="20" t="s">
        <v>690</v>
      </c>
      <c r="M24" s="31" t="s">
        <v>642</v>
      </c>
      <c r="N24" s="32" t="s">
        <v>594</v>
      </c>
      <c r="O24" s="33" t="s">
        <v>546</v>
      </c>
      <c r="P24" s="33" t="s">
        <v>498</v>
      </c>
      <c r="Q24" s="33" t="s">
        <v>450</v>
      </c>
      <c r="R24" s="34" t="s">
        <v>402</v>
      </c>
      <c r="S24" s="34" t="s">
        <v>354</v>
      </c>
      <c r="T24" s="33" t="s">
        <v>114</v>
      </c>
      <c r="U24" s="50" t="s">
        <v>1123</v>
      </c>
      <c r="V24" s="34" t="s">
        <v>162</v>
      </c>
      <c r="W24" s="20" t="s">
        <v>210</v>
      </c>
      <c r="X24" s="32" t="s">
        <v>258</v>
      </c>
      <c r="Y24" s="32" t="s">
        <v>306</v>
      </c>
      <c r="Z24" s="19"/>
      <c r="AA24" s="19"/>
      <c r="AB24" s="19"/>
      <c r="AC24" s="19"/>
    </row>
    <row r="25" spans="1:29" ht="16.5" customHeight="1" thickBot="1" x14ac:dyDescent="0.3">
      <c r="A25" s="86">
        <f t="shared" si="0"/>
        <v>24</v>
      </c>
      <c r="B25" s="37"/>
      <c r="C25" s="33">
        <f t="shared" si="1"/>
        <v>24</v>
      </c>
      <c r="D25" s="33" t="s">
        <v>787</v>
      </c>
      <c r="E25" s="32" t="s">
        <v>945</v>
      </c>
      <c r="F25" s="20" t="s">
        <v>946</v>
      </c>
      <c r="G25" s="32" t="s">
        <v>947</v>
      </c>
      <c r="H25" s="32" t="s">
        <v>948</v>
      </c>
      <c r="I25" s="20" t="s">
        <v>949</v>
      </c>
      <c r="J25" s="20" t="s">
        <v>950</v>
      </c>
      <c r="K25" s="20" t="s">
        <v>739</v>
      </c>
      <c r="L25" s="20" t="s">
        <v>691</v>
      </c>
      <c r="M25" s="31" t="s">
        <v>643</v>
      </c>
      <c r="N25" s="32" t="s">
        <v>595</v>
      </c>
      <c r="O25" s="33" t="s">
        <v>547</v>
      </c>
      <c r="P25" s="33" t="s">
        <v>499</v>
      </c>
      <c r="Q25" s="33" t="s">
        <v>451</v>
      </c>
      <c r="R25" s="34" t="s">
        <v>403</v>
      </c>
      <c r="S25" s="34" t="s">
        <v>355</v>
      </c>
      <c r="T25" s="33" t="s">
        <v>115</v>
      </c>
      <c r="U25" s="50" t="s">
        <v>1124</v>
      </c>
      <c r="V25" s="34" t="s">
        <v>163</v>
      </c>
      <c r="W25" s="20" t="s">
        <v>211</v>
      </c>
      <c r="X25" s="32" t="s">
        <v>259</v>
      </c>
      <c r="Y25" s="32" t="s">
        <v>307</v>
      </c>
      <c r="Z25" s="19"/>
      <c r="AA25" s="19"/>
      <c r="AB25" s="19"/>
      <c r="AC25" s="19"/>
    </row>
    <row r="26" spans="1:29" ht="16.5" customHeight="1" thickBot="1" x14ac:dyDescent="0.3">
      <c r="A26" s="86">
        <f t="shared" si="0"/>
        <v>25</v>
      </c>
      <c r="B26" s="37"/>
      <c r="C26" s="33">
        <f t="shared" si="1"/>
        <v>25</v>
      </c>
      <c r="D26" s="33" t="s">
        <v>788</v>
      </c>
      <c r="E26" s="32" t="s">
        <v>951</v>
      </c>
      <c r="F26" s="20" t="s">
        <v>952</v>
      </c>
      <c r="G26" s="32" t="s">
        <v>953</v>
      </c>
      <c r="H26" s="32" t="s">
        <v>954</v>
      </c>
      <c r="I26" s="20" t="s">
        <v>955</v>
      </c>
      <c r="J26" s="20" t="s">
        <v>956</v>
      </c>
      <c r="K26" s="20" t="s">
        <v>740</v>
      </c>
      <c r="L26" s="20" t="s">
        <v>692</v>
      </c>
      <c r="M26" s="31" t="s">
        <v>644</v>
      </c>
      <c r="N26" s="32" t="s">
        <v>596</v>
      </c>
      <c r="O26" s="33" t="s">
        <v>548</v>
      </c>
      <c r="P26" s="33" t="s">
        <v>500</v>
      </c>
      <c r="Q26" s="33" t="s">
        <v>452</v>
      </c>
      <c r="R26" s="34" t="s">
        <v>404</v>
      </c>
      <c r="S26" s="34" t="s">
        <v>356</v>
      </c>
      <c r="T26" s="33" t="s">
        <v>116</v>
      </c>
      <c r="U26" s="50" t="s">
        <v>1125</v>
      </c>
      <c r="V26" s="34" t="s">
        <v>164</v>
      </c>
      <c r="W26" s="20" t="s">
        <v>212</v>
      </c>
      <c r="X26" s="32" t="s">
        <v>260</v>
      </c>
      <c r="Y26" s="32" t="s">
        <v>308</v>
      </c>
      <c r="Z26" s="19"/>
      <c r="AA26" s="19"/>
      <c r="AB26" s="19"/>
      <c r="AC26" s="19"/>
    </row>
    <row r="27" spans="1:29" ht="16.5" customHeight="1" thickBot="1" x14ac:dyDescent="0.3">
      <c r="A27" s="86">
        <f t="shared" si="0"/>
        <v>26</v>
      </c>
      <c r="B27" s="37"/>
      <c r="C27" s="33">
        <f t="shared" si="1"/>
        <v>26</v>
      </c>
      <c r="D27" s="33" t="s">
        <v>789</v>
      </c>
      <c r="E27" s="32" t="s">
        <v>957</v>
      </c>
      <c r="F27" s="20" t="s">
        <v>958</v>
      </c>
      <c r="G27" s="32" t="s">
        <v>959</v>
      </c>
      <c r="H27" s="32" t="s">
        <v>960</v>
      </c>
      <c r="I27" s="20" t="s">
        <v>961</v>
      </c>
      <c r="J27" s="20" t="s">
        <v>962</v>
      </c>
      <c r="K27" s="20" t="s">
        <v>741</v>
      </c>
      <c r="L27" s="20" t="s">
        <v>693</v>
      </c>
      <c r="M27" s="31" t="s">
        <v>645</v>
      </c>
      <c r="N27" s="32" t="s">
        <v>597</v>
      </c>
      <c r="O27" s="33" t="s">
        <v>549</v>
      </c>
      <c r="P27" s="33" t="s">
        <v>501</v>
      </c>
      <c r="Q27" s="33" t="s">
        <v>453</v>
      </c>
      <c r="R27" s="34" t="s">
        <v>405</v>
      </c>
      <c r="S27" s="34" t="s">
        <v>357</v>
      </c>
      <c r="T27" s="33" t="s">
        <v>117</v>
      </c>
      <c r="U27" s="50" t="s">
        <v>1126</v>
      </c>
      <c r="V27" s="34" t="s">
        <v>165</v>
      </c>
      <c r="W27" s="20" t="s">
        <v>213</v>
      </c>
      <c r="X27" s="32" t="s">
        <v>261</v>
      </c>
      <c r="Y27" s="32" t="s">
        <v>309</v>
      </c>
      <c r="Z27" s="19"/>
      <c r="AA27" s="19"/>
      <c r="AB27" s="19"/>
      <c r="AC27" s="19"/>
    </row>
    <row r="28" spans="1:29" ht="26.25" customHeight="1" thickBot="1" x14ac:dyDescent="0.3">
      <c r="A28" s="86">
        <f t="shared" si="0"/>
        <v>27</v>
      </c>
      <c r="B28" s="37"/>
      <c r="C28" s="33">
        <f t="shared" si="1"/>
        <v>27</v>
      </c>
      <c r="D28" s="33" t="s">
        <v>790</v>
      </c>
      <c r="E28" s="32" t="s">
        <v>963</v>
      </c>
      <c r="F28" s="20" t="s">
        <v>964</v>
      </c>
      <c r="G28" s="32" t="s">
        <v>965</v>
      </c>
      <c r="H28" s="32" t="s">
        <v>966</v>
      </c>
      <c r="I28" s="20" t="s">
        <v>967</v>
      </c>
      <c r="J28" s="20" t="s">
        <v>968</v>
      </c>
      <c r="K28" s="20" t="s">
        <v>742</v>
      </c>
      <c r="L28" s="20" t="s">
        <v>694</v>
      </c>
      <c r="M28" s="31" t="s">
        <v>646</v>
      </c>
      <c r="N28" s="32" t="s">
        <v>598</v>
      </c>
      <c r="O28" s="33" t="s">
        <v>550</v>
      </c>
      <c r="P28" s="33" t="s">
        <v>502</v>
      </c>
      <c r="Q28" s="33" t="s">
        <v>454</v>
      </c>
      <c r="R28" s="34" t="s">
        <v>406</v>
      </c>
      <c r="S28" s="34" t="s">
        <v>358</v>
      </c>
      <c r="T28" s="33" t="s">
        <v>118</v>
      </c>
      <c r="U28" s="50" t="s">
        <v>1127</v>
      </c>
      <c r="V28" s="34" t="s">
        <v>166</v>
      </c>
      <c r="W28" s="20" t="s">
        <v>214</v>
      </c>
      <c r="X28" s="32" t="s">
        <v>262</v>
      </c>
      <c r="Y28" s="32" t="s">
        <v>310</v>
      </c>
      <c r="Z28" s="19"/>
      <c r="AA28" s="19"/>
      <c r="AB28" s="19"/>
      <c r="AC28" s="19"/>
    </row>
    <row r="29" spans="1:29" ht="16.5" customHeight="1" thickBot="1" x14ac:dyDescent="0.3">
      <c r="A29" s="86">
        <f t="shared" si="0"/>
        <v>28</v>
      </c>
      <c r="B29" s="37"/>
      <c r="C29" s="33">
        <f t="shared" si="1"/>
        <v>28</v>
      </c>
      <c r="D29" s="33" t="s">
        <v>791</v>
      </c>
      <c r="E29" s="32" t="s">
        <v>969</v>
      </c>
      <c r="F29" s="20" t="s">
        <v>970</v>
      </c>
      <c r="G29" s="32" t="s">
        <v>971</v>
      </c>
      <c r="H29" s="32" t="s">
        <v>972</v>
      </c>
      <c r="I29" s="20" t="s">
        <v>973</v>
      </c>
      <c r="J29" s="20" t="s">
        <v>974</v>
      </c>
      <c r="K29" s="20" t="s">
        <v>743</v>
      </c>
      <c r="L29" s="20" t="s">
        <v>695</v>
      </c>
      <c r="M29" s="31" t="s">
        <v>647</v>
      </c>
      <c r="N29" s="32" t="s">
        <v>599</v>
      </c>
      <c r="O29" s="33" t="s">
        <v>551</v>
      </c>
      <c r="P29" s="33" t="s">
        <v>503</v>
      </c>
      <c r="Q29" s="33" t="s">
        <v>455</v>
      </c>
      <c r="R29" s="34" t="s">
        <v>407</v>
      </c>
      <c r="S29" s="34" t="s">
        <v>359</v>
      </c>
      <c r="T29" s="33" t="s">
        <v>119</v>
      </c>
      <c r="U29" s="50" t="s">
        <v>1128</v>
      </c>
      <c r="V29" s="34" t="s">
        <v>167</v>
      </c>
      <c r="W29" s="20" t="s">
        <v>215</v>
      </c>
      <c r="X29" s="32" t="s">
        <v>263</v>
      </c>
      <c r="Y29" s="32" t="s">
        <v>311</v>
      </c>
      <c r="Z29" s="19"/>
      <c r="AA29" s="19"/>
      <c r="AB29" s="19"/>
      <c r="AC29" s="19"/>
    </row>
    <row r="30" spans="1:29" s="3" customFormat="1" ht="16.5" customHeight="1" thickBot="1" x14ac:dyDescent="0.3">
      <c r="A30" s="86">
        <f t="shared" si="0"/>
        <v>29</v>
      </c>
      <c r="B30" s="37"/>
      <c r="C30" s="33">
        <f t="shared" si="1"/>
        <v>29</v>
      </c>
      <c r="D30" s="33" t="s">
        <v>792</v>
      </c>
      <c r="E30" s="32" t="s">
        <v>975</v>
      </c>
      <c r="F30" s="20" t="s">
        <v>976</v>
      </c>
      <c r="G30" s="32" t="s">
        <v>977</v>
      </c>
      <c r="H30" s="32" t="s">
        <v>978</v>
      </c>
      <c r="I30" s="20" t="s">
        <v>979</v>
      </c>
      <c r="J30" s="20" t="s">
        <v>980</v>
      </c>
      <c r="K30" s="20" t="s">
        <v>744</v>
      </c>
      <c r="L30" s="20" t="s">
        <v>696</v>
      </c>
      <c r="M30" s="31" t="s">
        <v>648</v>
      </c>
      <c r="N30" s="32" t="s">
        <v>600</v>
      </c>
      <c r="O30" s="33" t="s">
        <v>552</v>
      </c>
      <c r="P30" s="33" t="s">
        <v>504</v>
      </c>
      <c r="Q30" s="33" t="s">
        <v>456</v>
      </c>
      <c r="R30" s="34" t="s">
        <v>408</v>
      </c>
      <c r="S30" s="34" t="s">
        <v>360</v>
      </c>
      <c r="T30" s="33" t="s">
        <v>120</v>
      </c>
      <c r="U30" s="50" t="s">
        <v>1129</v>
      </c>
      <c r="V30" s="34" t="s">
        <v>168</v>
      </c>
      <c r="W30" s="20" t="s">
        <v>216</v>
      </c>
      <c r="X30" s="32" t="s">
        <v>264</v>
      </c>
      <c r="Y30" s="32" t="s">
        <v>312</v>
      </c>
      <c r="Z30" s="19"/>
      <c r="AA30" s="19"/>
      <c r="AB30" s="19"/>
      <c r="AC30" s="19"/>
    </row>
    <row r="31" spans="1:29" ht="16.5" customHeight="1" thickBot="1" x14ac:dyDescent="0.3">
      <c r="A31" s="86">
        <f t="shared" si="0"/>
        <v>30</v>
      </c>
      <c r="B31" s="37"/>
      <c r="C31" s="33">
        <f t="shared" si="1"/>
        <v>30</v>
      </c>
      <c r="D31" s="33" t="s">
        <v>793</v>
      </c>
      <c r="E31" s="32" t="s">
        <v>981</v>
      </c>
      <c r="F31" s="20" t="s">
        <v>982</v>
      </c>
      <c r="G31" s="32" t="s">
        <v>983</v>
      </c>
      <c r="H31" s="32" t="s">
        <v>984</v>
      </c>
      <c r="I31" s="20" t="s">
        <v>985</v>
      </c>
      <c r="J31" s="20" t="s">
        <v>986</v>
      </c>
      <c r="K31" s="20" t="s">
        <v>745</v>
      </c>
      <c r="L31" s="20" t="s">
        <v>697</v>
      </c>
      <c r="M31" s="31" t="s">
        <v>649</v>
      </c>
      <c r="N31" s="32" t="s">
        <v>601</v>
      </c>
      <c r="O31" s="33" t="s">
        <v>553</v>
      </c>
      <c r="P31" s="33" t="s">
        <v>505</v>
      </c>
      <c r="Q31" s="33" t="s">
        <v>457</v>
      </c>
      <c r="R31" s="34" t="s">
        <v>409</v>
      </c>
      <c r="S31" s="34" t="s">
        <v>361</v>
      </c>
      <c r="T31" s="33" t="s">
        <v>121</v>
      </c>
      <c r="U31" s="50" t="s">
        <v>1130</v>
      </c>
      <c r="V31" s="34" t="s">
        <v>169</v>
      </c>
      <c r="W31" s="20" t="s">
        <v>217</v>
      </c>
      <c r="X31" s="32" t="s">
        <v>265</v>
      </c>
      <c r="Y31" s="32" t="s">
        <v>313</v>
      </c>
      <c r="Z31" s="19"/>
      <c r="AA31" s="19"/>
      <c r="AB31" s="19"/>
      <c r="AC31" s="19"/>
    </row>
    <row r="32" spans="1:29" ht="16.5" customHeight="1" thickBot="1" x14ac:dyDescent="0.3">
      <c r="A32" s="86">
        <f t="shared" si="0"/>
        <v>31</v>
      </c>
      <c r="B32" s="37"/>
      <c r="C32" s="33">
        <f t="shared" si="1"/>
        <v>31</v>
      </c>
      <c r="D32" s="33" t="s">
        <v>794</v>
      </c>
      <c r="E32" s="32" t="s">
        <v>987</v>
      </c>
      <c r="F32" s="20" t="s">
        <v>988</v>
      </c>
      <c r="G32" s="32" t="s">
        <v>989</v>
      </c>
      <c r="H32" s="32" t="s">
        <v>990</v>
      </c>
      <c r="I32" s="20" t="s">
        <v>991</v>
      </c>
      <c r="J32" s="20" t="s">
        <v>992</v>
      </c>
      <c r="K32" s="20" t="s">
        <v>746</v>
      </c>
      <c r="L32" s="20" t="s">
        <v>698</v>
      </c>
      <c r="M32" s="31" t="s">
        <v>650</v>
      </c>
      <c r="N32" s="32" t="s">
        <v>602</v>
      </c>
      <c r="O32" s="33" t="s">
        <v>554</v>
      </c>
      <c r="P32" s="33" t="s">
        <v>506</v>
      </c>
      <c r="Q32" s="33" t="s">
        <v>458</v>
      </c>
      <c r="R32" s="34" t="s">
        <v>410</v>
      </c>
      <c r="S32" s="34" t="s">
        <v>362</v>
      </c>
      <c r="T32" s="33" t="s">
        <v>122</v>
      </c>
      <c r="U32" s="50" t="s">
        <v>1131</v>
      </c>
      <c r="V32" s="34" t="s">
        <v>170</v>
      </c>
      <c r="W32" s="20" t="s">
        <v>218</v>
      </c>
      <c r="X32" s="32" t="s">
        <v>266</v>
      </c>
      <c r="Y32" s="32" t="s">
        <v>314</v>
      </c>
      <c r="Z32" s="19"/>
      <c r="AA32" s="19"/>
      <c r="AB32" s="19"/>
      <c r="AC32" s="19"/>
    </row>
    <row r="33" spans="1:29" ht="16.5" customHeight="1" thickBot="1" x14ac:dyDescent="0.3">
      <c r="A33" s="86">
        <f t="shared" si="0"/>
        <v>32</v>
      </c>
      <c r="B33" s="37"/>
      <c r="C33" s="33">
        <f t="shared" si="1"/>
        <v>32</v>
      </c>
      <c r="D33" s="33" t="s">
        <v>795</v>
      </c>
      <c r="E33" s="32" t="s">
        <v>993</v>
      </c>
      <c r="F33" s="20" t="s">
        <v>994</v>
      </c>
      <c r="G33" s="32" t="s">
        <v>995</v>
      </c>
      <c r="H33" s="32" t="s">
        <v>996</v>
      </c>
      <c r="I33" s="20" t="s">
        <v>997</v>
      </c>
      <c r="J33" s="20" t="s">
        <v>998</v>
      </c>
      <c r="K33" s="20" t="s">
        <v>747</v>
      </c>
      <c r="L33" s="20" t="s">
        <v>699</v>
      </c>
      <c r="M33" s="31" t="s">
        <v>651</v>
      </c>
      <c r="N33" s="32" t="s">
        <v>603</v>
      </c>
      <c r="O33" s="33" t="s">
        <v>555</v>
      </c>
      <c r="P33" s="33" t="s">
        <v>507</v>
      </c>
      <c r="Q33" s="33" t="s">
        <v>459</v>
      </c>
      <c r="R33" s="34" t="s">
        <v>411</v>
      </c>
      <c r="S33" s="34" t="s">
        <v>363</v>
      </c>
      <c r="T33" s="33" t="s">
        <v>123</v>
      </c>
      <c r="U33" s="50" t="s">
        <v>1132</v>
      </c>
      <c r="V33" s="34" t="s">
        <v>171</v>
      </c>
      <c r="W33" s="20" t="s">
        <v>219</v>
      </c>
      <c r="X33" s="32" t="s">
        <v>267</v>
      </c>
      <c r="Y33" s="32" t="s">
        <v>315</v>
      </c>
      <c r="Z33" s="19"/>
      <c r="AA33" s="19"/>
      <c r="AB33" s="19"/>
      <c r="AC33" s="19"/>
    </row>
    <row r="34" spans="1:29" ht="15.75" customHeight="1" thickBot="1" x14ac:dyDescent="0.3">
      <c r="A34" s="86">
        <f t="shared" si="0"/>
        <v>33</v>
      </c>
      <c r="B34" s="37"/>
      <c r="C34" s="33">
        <f t="shared" si="1"/>
        <v>33</v>
      </c>
      <c r="D34" s="33" t="s">
        <v>796</v>
      </c>
      <c r="E34" s="32" t="s">
        <v>999</v>
      </c>
      <c r="F34" s="20" t="s">
        <v>1000</v>
      </c>
      <c r="G34" s="32" t="s">
        <v>1001</v>
      </c>
      <c r="H34" s="32" t="s">
        <v>1002</v>
      </c>
      <c r="I34" s="20" t="s">
        <v>1003</v>
      </c>
      <c r="J34" s="20" t="s">
        <v>1004</v>
      </c>
      <c r="K34" s="20" t="s">
        <v>748</v>
      </c>
      <c r="L34" s="20" t="s">
        <v>700</v>
      </c>
      <c r="M34" s="31" t="s">
        <v>652</v>
      </c>
      <c r="N34" s="32" t="s">
        <v>604</v>
      </c>
      <c r="O34" s="33" t="s">
        <v>556</v>
      </c>
      <c r="P34" s="33" t="s">
        <v>508</v>
      </c>
      <c r="Q34" s="33" t="s">
        <v>460</v>
      </c>
      <c r="R34" s="34" t="s">
        <v>412</v>
      </c>
      <c r="S34" s="34" t="s">
        <v>364</v>
      </c>
      <c r="T34" s="33" t="s">
        <v>124</v>
      </c>
      <c r="U34" s="50" t="s">
        <v>1133</v>
      </c>
      <c r="V34" s="34" t="s">
        <v>172</v>
      </c>
      <c r="W34" s="20" t="s">
        <v>220</v>
      </c>
      <c r="X34" s="32" t="s">
        <v>268</v>
      </c>
      <c r="Y34" s="32" t="s">
        <v>316</v>
      </c>
      <c r="Z34" s="19"/>
      <c r="AA34" s="19"/>
      <c r="AB34" s="19"/>
      <c r="AC34" s="19"/>
    </row>
    <row r="35" spans="1:29" ht="16.5" customHeight="1" thickBot="1" x14ac:dyDescent="0.3">
      <c r="A35" s="86">
        <f t="shared" si="0"/>
        <v>34</v>
      </c>
      <c r="B35" s="37"/>
      <c r="C35" s="33">
        <f t="shared" si="1"/>
        <v>34</v>
      </c>
      <c r="D35" s="33" t="s">
        <v>797</v>
      </c>
      <c r="E35" s="32" t="s">
        <v>1005</v>
      </c>
      <c r="F35" s="20" t="s">
        <v>1006</v>
      </c>
      <c r="G35" s="32" t="s">
        <v>1007</v>
      </c>
      <c r="H35" s="32" t="s">
        <v>1008</v>
      </c>
      <c r="I35" s="20" t="s">
        <v>1009</v>
      </c>
      <c r="J35" s="20" t="s">
        <v>1010</v>
      </c>
      <c r="K35" s="20" t="s">
        <v>749</v>
      </c>
      <c r="L35" s="20" t="s">
        <v>701</v>
      </c>
      <c r="M35" s="31" t="s">
        <v>653</v>
      </c>
      <c r="N35" s="32" t="s">
        <v>605</v>
      </c>
      <c r="O35" s="33" t="s">
        <v>557</v>
      </c>
      <c r="P35" s="33" t="s">
        <v>509</v>
      </c>
      <c r="Q35" s="33" t="s">
        <v>461</v>
      </c>
      <c r="R35" s="34" t="s">
        <v>413</v>
      </c>
      <c r="S35" s="34" t="s">
        <v>365</v>
      </c>
      <c r="T35" s="33" t="s">
        <v>125</v>
      </c>
      <c r="U35" s="50" t="s">
        <v>1134</v>
      </c>
      <c r="V35" s="34" t="s">
        <v>173</v>
      </c>
      <c r="W35" s="20" t="s">
        <v>221</v>
      </c>
      <c r="X35" s="32" t="s">
        <v>269</v>
      </c>
      <c r="Y35" s="32" t="s">
        <v>317</v>
      </c>
      <c r="Z35" s="19"/>
      <c r="AA35" s="19"/>
      <c r="AB35" s="19"/>
      <c r="AC35" s="19"/>
    </row>
    <row r="36" spans="1:29" ht="16.5" customHeight="1" thickBot="1" x14ac:dyDescent="0.3">
      <c r="A36" s="86">
        <f t="shared" si="0"/>
        <v>35</v>
      </c>
      <c r="B36" s="37"/>
      <c r="C36" s="33">
        <f t="shared" si="1"/>
        <v>35</v>
      </c>
      <c r="D36" s="33" t="s">
        <v>798</v>
      </c>
      <c r="E36" s="32" t="s">
        <v>1011</v>
      </c>
      <c r="F36" s="20" t="s">
        <v>1012</v>
      </c>
      <c r="G36" s="32" t="s">
        <v>1013</v>
      </c>
      <c r="H36" s="32" t="s">
        <v>1014</v>
      </c>
      <c r="I36" s="20" t="s">
        <v>1015</v>
      </c>
      <c r="J36" s="20" t="s">
        <v>1016</v>
      </c>
      <c r="K36" s="20" t="s">
        <v>750</v>
      </c>
      <c r="L36" s="20" t="s">
        <v>702</v>
      </c>
      <c r="M36" s="31" t="s">
        <v>654</v>
      </c>
      <c r="N36" s="32" t="s">
        <v>606</v>
      </c>
      <c r="O36" s="33" t="s">
        <v>558</v>
      </c>
      <c r="P36" s="33" t="s">
        <v>510</v>
      </c>
      <c r="Q36" s="33" t="s">
        <v>462</v>
      </c>
      <c r="R36" s="34" t="s">
        <v>414</v>
      </c>
      <c r="S36" s="34" t="s">
        <v>366</v>
      </c>
      <c r="T36" s="33" t="s">
        <v>126</v>
      </c>
      <c r="U36" s="50" t="s">
        <v>1135</v>
      </c>
      <c r="V36" s="34" t="s">
        <v>174</v>
      </c>
      <c r="W36" s="20" t="s">
        <v>222</v>
      </c>
      <c r="X36" s="32" t="s">
        <v>270</v>
      </c>
      <c r="Y36" s="32" t="s">
        <v>318</v>
      </c>
      <c r="Z36" s="19"/>
      <c r="AA36" s="19"/>
      <c r="AB36" s="19"/>
      <c r="AC36" s="19"/>
    </row>
    <row r="37" spans="1:29" ht="16.5" customHeight="1" thickBot="1" x14ac:dyDescent="0.3">
      <c r="A37" s="86">
        <f t="shared" si="0"/>
        <v>36</v>
      </c>
      <c r="B37" s="37"/>
      <c r="C37" s="33">
        <f t="shared" si="1"/>
        <v>36</v>
      </c>
      <c r="D37" s="33" t="s">
        <v>799</v>
      </c>
      <c r="E37" s="32" t="s">
        <v>1017</v>
      </c>
      <c r="F37" s="20" t="s">
        <v>1018</v>
      </c>
      <c r="G37" s="32" t="s">
        <v>1019</v>
      </c>
      <c r="H37" s="32" t="s">
        <v>1020</v>
      </c>
      <c r="I37" s="20" t="s">
        <v>1021</v>
      </c>
      <c r="J37" s="20" t="s">
        <v>1022</v>
      </c>
      <c r="K37" s="20" t="s">
        <v>751</v>
      </c>
      <c r="L37" s="20" t="s">
        <v>703</v>
      </c>
      <c r="M37" s="31" t="s">
        <v>655</v>
      </c>
      <c r="N37" s="32" t="s">
        <v>607</v>
      </c>
      <c r="O37" s="33" t="s">
        <v>559</v>
      </c>
      <c r="P37" s="33" t="s">
        <v>511</v>
      </c>
      <c r="Q37" s="33" t="s">
        <v>463</v>
      </c>
      <c r="R37" s="34" t="s">
        <v>415</v>
      </c>
      <c r="S37" s="34" t="s">
        <v>367</v>
      </c>
      <c r="T37" s="33" t="s">
        <v>127</v>
      </c>
      <c r="U37" s="50" t="s">
        <v>1136</v>
      </c>
      <c r="V37" s="34" t="s">
        <v>175</v>
      </c>
      <c r="W37" s="20" t="s">
        <v>223</v>
      </c>
      <c r="X37" s="32" t="s">
        <v>271</v>
      </c>
      <c r="Y37" s="32" t="s">
        <v>319</v>
      </c>
      <c r="Z37" s="19"/>
      <c r="AA37" s="19"/>
      <c r="AB37" s="19"/>
      <c r="AC37" s="19"/>
    </row>
    <row r="38" spans="1:29" ht="26.25" customHeight="1" thickBot="1" x14ac:dyDescent="0.3">
      <c r="A38" s="86">
        <f t="shared" si="0"/>
        <v>37</v>
      </c>
      <c r="B38" s="37"/>
      <c r="C38" s="33">
        <f t="shared" si="1"/>
        <v>37</v>
      </c>
      <c r="D38" s="33" t="s">
        <v>800</v>
      </c>
      <c r="E38" s="32" t="s">
        <v>1023</v>
      </c>
      <c r="F38" s="20" t="s">
        <v>1024</v>
      </c>
      <c r="G38" s="32" t="s">
        <v>1025</v>
      </c>
      <c r="H38" s="32" t="s">
        <v>1026</v>
      </c>
      <c r="I38" s="20" t="s">
        <v>1027</v>
      </c>
      <c r="J38" s="20" t="s">
        <v>1028</v>
      </c>
      <c r="K38" s="20" t="s">
        <v>752</v>
      </c>
      <c r="L38" s="20" t="s">
        <v>704</v>
      </c>
      <c r="M38" s="31" t="s">
        <v>656</v>
      </c>
      <c r="N38" s="32" t="s">
        <v>608</v>
      </c>
      <c r="O38" s="33" t="s">
        <v>560</v>
      </c>
      <c r="P38" s="33" t="s">
        <v>512</v>
      </c>
      <c r="Q38" s="33" t="s">
        <v>464</v>
      </c>
      <c r="R38" s="34" t="s">
        <v>416</v>
      </c>
      <c r="S38" s="34" t="s">
        <v>368</v>
      </c>
      <c r="T38" s="33" t="s">
        <v>128</v>
      </c>
      <c r="U38" s="50" t="s">
        <v>1137</v>
      </c>
      <c r="V38" s="34" t="s">
        <v>176</v>
      </c>
      <c r="W38" s="20" t="s">
        <v>224</v>
      </c>
      <c r="X38" s="32" t="s">
        <v>272</v>
      </c>
      <c r="Y38" s="32" t="s">
        <v>320</v>
      </c>
      <c r="Z38" s="19"/>
      <c r="AA38" s="19"/>
      <c r="AB38" s="19"/>
      <c r="AC38" s="19"/>
    </row>
    <row r="39" spans="1:29" ht="16.5" customHeight="1" thickBot="1" x14ac:dyDescent="0.3">
      <c r="A39" s="86">
        <f t="shared" si="0"/>
        <v>38</v>
      </c>
      <c r="B39" s="37"/>
      <c r="C39" s="33">
        <f t="shared" si="1"/>
        <v>38</v>
      </c>
      <c r="D39" s="33" t="s">
        <v>801</v>
      </c>
      <c r="E39" s="32" t="s">
        <v>1029</v>
      </c>
      <c r="F39" s="20" t="s">
        <v>1030</v>
      </c>
      <c r="G39" s="32" t="s">
        <v>1031</v>
      </c>
      <c r="H39" s="32" t="s">
        <v>1032</v>
      </c>
      <c r="I39" s="20" t="s">
        <v>1033</v>
      </c>
      <c r="J39" s="20" t="s">
        <v>1034</v>
      </c>
      <c r="K39" s="20" t="s">
        <v>753</v>
      </c>
      <c r="L39" s="20" t="s">
        <v>705</v>
      </c>
      <c r="M39" s="31" t="s">
        <v>657</v>
      </c>
      <c r="N39" s="32" t="s">
        <v>609</v>
      </c>
      <c r="O39" s="33" t="s">
        <v>561</v>
      </c>
      <c r="P39" s="33" t="s">
        <v>513</v>
      </c>
      <c r="Q39" s="33" t="s">
        <v>465</v>
      </c>
      <c r="R39" s="34" t="s">
        <v>417</v>
      </c>
      <c r="S39" s="34" t="s">
        <v>369</v>
      </c>
      <c r="T39" s="33" t="s">
        <v>129</v>
      </c>
      <c r="U39" s="50" t="s">
        <v>1138</v>
      </c>
      <c r="V39" s="34" t="s">
        <v>177</v>
      </c>
      <c r="W39" s="20" t="s">
        <v>225</v>
      </c>
      <c r="X39" s="32" t="s">
        <v>273</v>
      </c>
      <c r="Y39" s="32" t="s">
        <v>321</v>
      </c>
      <c r="Z39" s="19"/>
      <c r="AA39" s="19"/>
      <c r="AB39" s="19"/>
      <c r="AC39" s="19"/>
    </row>
    <row r="40" spans="1:29" ht="16.5" customHeight="1" thickBot="1" x14ac:dyDescent="0.3">
      <c r="A40" s="86">
        <f t="shared" si="0"/>
        <v>39</v>
      </c>
      <c r="B40" s="37"/>
      <c r="C40" s="33">
        <f t="shared" si="1"/>
        <v>39</v>
      </c>
      <c r="D40" s="33" t="s">
        <v>802</v>
      </c>
      <c r="E40" s="32" t="s">
        <v>1035</v>
      </c>
      <c r="F40" s="20" t="s">
        <v>1036</v>
      </c>
      <c r="G40" s="32" t="s">
        <v>1037</v>
      </c>
      <c r="H40" s="32" t="s">
        <v>1038</v>
      </c>
      <c r="I40" s="20" t="s">
        <v>1039</v>
      </c>
      <c r="J40" s="20" t="s">
        <v>1040</v>
      </c>
      <c r="K40" s="20" t="s">
        <v>754</v>
      </c>
      <c r="L40" s="20" t="s">
        <v>706</v>
      </c>
      <c r="M40" s="31" t="s">
        <v>658</v>
      </c>
      <c r="N40" s="32" t="s">
        <v>610</v>
      </c>
      <c r="O40" s="33" t="s">
        <v>562</v>
      </c>
      <c r="P40" s="33" t="s">
        <v>514</v>
      </c>
      <c r="Q40" s="33" t="s">
        <v>466</v>
      </c>
      <c r="R40" s="34" t="s">
        <v>418</v>
      </c>
      <c r="S40" s="34" t="s">
        <v>370</v>
      </c>
      <c r="T40" s="33" t="s">
        <v>130</v>
      </c>
      <c r="U40" s="50" t="s">
        <v>1139</v>
      </c>
      <c r="V40" s="34" t="s">
        <v>178</v>
      </c>
      <c r="W40" s="20" t="s">
        <v>226</v>
      </c>
      <c r="X40" s="32" t="s">
        <v>274</v>
      </c>
      <c r="Y40" s="32" t="s">
        <v>322</v>
      </c>
      <c r="Z40" s="19"/>
      <c r="AA40" s="19"/>
      <c r="AB40" s="19"/>
      <c r="AC40" s="19"/>
    </row>
    <row r="41" spans="1:29" ht="16.5" customHeight="1" thickBot="1" x14ac:dyDescent="0.3">
      <c r="A41" s="86">
        <f t="shared" si="0"/>
        <v>40</v>
      </c>
      <c r="B41" s="37"/>
      <c r="C41" s="33">
        <f t="shared" si="1"/>
        <v>40</v>
      </c>
      <c r="D41" s="33" t="s">
        <v>803</v>
      </c>
      <c r="E41" s="32" t="s">
        <v>1041</v>
      </c>
      <c r="F41" s="20" t="s">
        <v>1042</v>
      </c>
      <c r="G41" s="32" t="s">
        <v>1043</v>
      </c>
      <c r="H41" s="32" t="s">
        <v>1044</v>
      </c>
      <c r="I41" s="20" t="s">
        <v>1045</v>
      </c>
      <c r="J41" s="20" t="s">
        <v>1046</v>
      </c>
      <c r="K41" s="20" t="s">
        <v>755</v>
      </c>
      <c r="L41" s="20" t="s">
        <v>707</v>
      </c>
      <c r="M41" s="31" t="s">
        <v>659</v>
      </c>
      <c r="N41" s="32" t="s">
        <v>611</v>
      </c>
      <c r="O41" s="33" t="s">
        <v>563</v>
      </c>
      <c r="P41" s="33" t="s">
        <v>515</v>
      </c>
      <c r="Q41" s="33" t="s">
        <v>467</v>
      </c>
      <c r="R41" s="34" t="s">
        <v>419</v>
      </c>
      <c r="S41" s="34" t="s">
        <v>371</v>
      </c>
      <c r="T41" s="33" t="s">
        <v>131</v>
      </c>
      <c r="U41" s="50" t="s">
        <v>1140</v>
      </c>
      <c r="V41" s="34" t="s">
        <v>179</v>
      </c>
      <c r="W41" s="20" t="s">
        <v>227</v>
      </c>
      <c r="X41" s="32" t="s">
        <v>275</v>
      </c>
      <c r="Y41" s="32" t="s">
        <v>323</v>
      </c>
      <c r="Z41" s="19"/>
      <c r="AA41" s="19"/>
      <c r="AB41" s="19"/>
      <c r="AC41" s="19"/>
    </row>
    <row r="42" spans="1:29" ht="16.5" customHeight="1" thickBot="1" x14ac:dyDescent="0.3">
      <c r="A42" s="86">
        <f t="shared" si="0"/>
        <v>41</v>
      </c>
      <c r="B42" s="37">
        <v>1415</v>
      </c>
      <c r="C42" s="33">
        <f t="shared" si="1"/>
        <v>41</v>
      </c>
      <c r="D42" s="33" t="s">
        <v>804</v>
      </c>
      <c r="E42" s="32" t="s">
        <v>1047</v>
      </c>
      <c r="F42" s="20" t="s">
        <v>1048</v>
      </c>
      <c r="G42" s="32" t="s">
        <v>1049</v>
      </c>
      <c r="H42" s="32" t="s">
        <v>1050</v>
      </c>
      <c r="I42" s="20" t="s">
        <v>1051</v>
      </c>
      <c r="J42" s="20" t="s">
        <v>1052</v>
      </c>
      <c r="K42" s="20" t="s">
        <v>756</v>
      </c>
      <c r="L42" s="20" t="s">
        <v>708</v>
      </c>
      <c r="M42" s="31" t="s">
        <v>660</v>
      </c>
      <c r="N42" s="32" t="s">
        <v>612</v>
      </c>
      <c r="O42" s="33" t="s">
        <v>564</v>
      </c>
      <c r="P42" s="33" t="s">
        <v>516</v>
      </c>
      <c r="Q42" s="33" t="s">
        <v>468</v>
      </c>
      <c r="R42" s="34" t="s">
        <v>420</v>
      </c>
      <c r="S42" s="34" t="s">
        <v>372</v>
      </c>
      <c r="T42" s="33" t="s">
        <v>132</v>
      </c>
      <c r="U42" s="50" t="s">
        <v>1141</v>
      </c>
      <c r="V42" s="34" t="s">
        <v>180</v>
      </c>
      <c r="W42" s="20" t="s">
        <v>228</v>
      </c>
      <c r="X42" s="32" t="s">
        <v>276</v>
      </c>
      <c r="Y42" s="32" t="s">
        <v>324</v>
      </c>
      <c r="Z42" s="19"/>
      <c r="AA42" s="19"/>
      <c r="AB42" s="19"/>
      <c r="AC42" s="19"/>
    </row>
    <row r="43" spans="1:29" ht="16.5" customHeight="1" thickBot="1" x14ac:dyDescent="0.3">
      <c r="A43" s="86">
        <f t="shared" si="0"/>
        <v>42</v>
      </c>
      <c r="B43" s="37"/>
      <c r="C43" s="33">
        <f t="shared" si="1"/>
        <v>42</v>
      </c>
      <c r="D43" s="33" t="s">
        <v>805</v>
      </c>
      <c r="E43" s="32" t="s">
        <v>1053</v>
      </c>
      <c r="F43" s="20" t="s">
        <v>1054</v>
      </c>
      <c r="G43" s="32" t="s">
        <v>1055</v>
      </c>
      <c r="H43" s="32" t="s">
        <v>1056</v>
      </c>
      <c r="I43" s="20" t="s">
        <v>1057</v>
      </c>
      <c r="J43" s="20" t="s">
        <v>1058</v>
      </c>
      <c r="K43" s="20" t="s">
        <v>757</v>
      </c>
      <c r="L43" s="20" t="s">
        <v>709</v>
      </c>
      <c r="M43" s="31" t="s">
        <v>661</v>
      </c>
      <c r="N43" s="32" t="s">
        <v>613</v>
      </c>
      <c r="O43" s="33" t="s">
        <v>565</v>
      </c>
      <c r="P43" s="33" t="s">
        <v>517</v>
      </c>
      <c r="Q43" s="33" t="s">
        <v>469</v>
      </c>
      <c r="R43" s="34" t="s">
        <v>421</v>
      </c>
      <c r="S43" s="34" t="s">
        <v>373</v>
      </c>
      <c r="T43" s="33" t="s">
        <v>133</v>
      </c>
      <c r="U43" s="50" t="s">
        <v>1142</v>
      </c>
      <c r="V43" s="34" t="s">
        <v>181</v>
      </c>
      <c r="W43" s="20" t="s">
        <v>229</v>
      </c>
      <c r="X43" s="32" t="s">
        <v>277</v>
      </c>
      <c r="Y43" s="32" t="s">
        <v>325</v>
      </c>
      <c r="Z43" s="19"/>
      <c r="AA43" s="19"/>
      <c r="AB43" s="19"/>
      <c r="AC43" s="19"/>
    </row>
    <row r="44" spans="1:29" ht="16.5" customHeight="1" thickBot="1" x14ac:dyDescent="0.3">
      <c r="A44" s="86">
        <f t="shared" si="0"/>
        <v>43</v>
      </c>
      <c r="B44" s="37"/>
      <c r="C44" s="33">
        <f t="shared" si="1"/>
        <v>43</v>
      </c>
      <c r="D44" s="33" t="s">
        <v>806</v>
      </c>
      <c r="E44" s="32" t="s">
        <v>1059</v>
      </c>
      <c r="F44" s="20" t="s">
        <v>1060</v>
      </c>
      <c r="G44" s="32" t="s">
        <v>1061</v>
      </c>
      <c r="H44" s="32" t="s">
        <v>1062</v>
      </c>
      <c r="I44" s="20" t="s">
        <v>1063</v>
      </c>
      <c r="J44" s="20" t="s">
        <v>1064</v>
      </c>
      <c r="K44" s="20" t="s">
        <v>758</v>
      </c>
      <c r="L44" s="20" t="s">
        <v>710</v>
      </c>
      <c r="M44" s="31" t="s">
        <v>662</v>
      </c>
      <c r="N44" s="32" t="s">
        <v>614</v>
      </c>
      <c r="O44" s="33" t="s">
        <v>566</v>
      </c>
      <c r="P44" s="33" t="s">
        <v>518</v>
      </c>
      <c r="Q44" s="33" t="s">
        <v>470</v>
      </c>
      <c r="R44" s="34" t="s">
        <v>422</v>
      </c>
      <c r="S44" s="34" t="s">
        <v>374</v>
      </c>
      <c r="T44" s="33" t="s">
        <v>134</v>
      </c>
      <c r="U44" s="50" t="s">
        <v>1143</v>
      </c>
      <c r="V44" s="34" t="s">
        <v>182</v>
      </c>
      <c r="W44" s="20" t="s">
        <v>230</v>
      </c>
      <c r="X44" s="32" t="s">
        <v>278</v>
      </c>
      <c r="Y44" s="32" t="s">
        <v>326</v>
      </c>
      <c r="Z44" s="19"/>
      <c r="AA44" s="19"/>
      <c r="AB44" s="19"/>
      <c r="AC44" s="19"/>
    </row>
    <row r="45" spans="1:29" ht="16.5" customHeight="1" thickBot="1" x14ac:dyDescent="0.3">
      <c r="A45" s="86">
        <f t="shared" si="0"/>
        <v>44</v>
      </c>
      <c r="B45" s="37"/>
      <c r="C45" s="33">
        <f t="shared" si="1"/>
        <v>44</v>
      </c>
      <c r="D45" s="33" t="s">
        <v>807</v>
      </c>
      <c r="E45" s="32" t="s">
        <v>1065</v>
      </c>
      <c r="F45" s="20" t="s">
        <v>1066</v>
      </c>
      <c r="G45" s="32" t="s">
        <v>1067</v>
      </c>
      <c r="H45" s="32" t="s">
        <v>1068</v>
      </c>
      <c r="I45" s="20" t="s">
        <v>1069</v>
      </c>
      <c r="J45" s="20" t="s">
        <v>1070</v>
      </c>
      <c r="K45" s="20" t="s">
        <v>759</v>
      </c>
      <c r="L45" s="20" t="s">
        <v>711</v>
      </c>
      <c r="M45" s="31" t="s">
        <v>663</v>
      </c>
      <c r="N45" s="32" t="s">
        <v>615</v>
      </c>
      <c r="O45" s="33" t="s">
        <v>567</v>
      </c>
      <c r="P45" s="33" t="s">
        <v>519</v>
      </c>
      <c r="Q45" s="33" t="s">
        <v>471</v>
      </c>
      <c r="R45" s="34" t="s">
        <v>423</v>
      </c>
      <c r="S45" s="34" t="s">
        <v>375</v>
      </c>
      <c r="T45" s="33" t="s">
        <v>135</v>
      </c>
      <c r="U45" s="50" t="s">
        <v>1144</v>
      </c>
      <c r="V45" s="34" t="s">
        <v>183</v>
      </c>
      <c r="W45" s="20" t="s">
        <v>231</v>
      </c>
      <c r="X45" s="32" t="s">
        <v>279</v>
      </c>
      <c r="Y45" s="32" t="s">
        <v>327</v>
      </c>
      <c r="Z45" s="19"/>
      <c r="AA45" s="19"/>
      <c r="AB45" s="19"/>
      <c r="AC45" s="19"/>
    </row>
    <row r="46" spans="1:29" ht="16.5" customHeight="1" thickBot="1" x14ac:dyDescent="0.3">
      <c r="A46" s="86">
        <f t="shared" si="0"/>
        <v>45</v>
      </c>
      <c r="B46" s="37"/>
      <c r="C46" s="33">
        <f t="shared" si="1"/>
        <v>45</v>
      </c>
      <c r="D46" s="33" t="s">
        <v>808</v>
      </c>
      <c r="E46" s="32" t="s">
        <v>1071</v>
      </c>
      <c r="F46" s="20" t="s">
        <v>1072</v>
      </c>
      <c r="G46" s="32" t="s">
        <v>1073</v>
      </c>
      <c r="H46" s="32" t="s">
        <v>1074</v>
      </c>
      <c r="I46" s="20" t="s">
        <v>1075</v>
      </c>
      <c r="J46" s="20" t="s">
        <v>1076</v>
      </c>
      <c r="K46" s="20" t="s">
        <v>760</v>
      </c>
      <c r="L46" s="20" t="s">
        <v>712</v>
      </c>
      <c r="M46" s="31" t="s">
        <v>664</v>
      </c>
      <c r="N46" s="32" t="s">
        <v>616</v>
      </c>
      <c r="O46" s="33" t="s">
        <v>568</v>
      </c>
      <c r="P46" s="33" t="s">
        <v>520</v>
      </c>
      <c r="Q46" s="33" t="s">
        <v>472</v>
      </c>
      <c r="R46" s="34" t="s">
        <v>424</v>
      </c>
      <c r="S46" s="34" t="s">
        <v>376</v>
      </c>
      <c r="T46" s="33" t="s">
        <v>136</v>
      </c>
      <c r="U46" s="50" t="s">
        <v>1145</v>
      </c>
      <c r="V46" s="34" t="s">
        <v>184</v>
      </c>
      <c r="W46" s="20" t="s">
        <v>232</v>
      </c>
      <c r="X46" s="32" t="s">
        <v>280</v>
      </c>
      <c r="Y46" s="32" t="s">
        <v>328</v>
      </c>
      <c r="Z46" s="19"/>
      <c r="AA46" s="19"/>
      <c r="AB46" s="19"/>
      <c r="AC46" s="19"/>
    </row>
    <row r="47" spans="1:29" ht="16.5" customHeight="1" thickBot="1" x14ac:dyDescent="0.3">
      <c r="A47" s="86">
        <f t="shared" si="0"/>
        <v>46</v>
      </c>
      <c r="B47" s="37"/>
      <c r="C47" s="33">
        <f t="shared" si="1"/>
        <v>46</v>
      </c>
      <c r="D47" s="33" t="s">
        <v>809</v>
      </c>
      <c r="E47" s="32" t="s">
        <v>1077</v>
      </c>
      <c r="F47" s="20" t="s">
        <v>1078</v>
      </c>
      <c r="G47" s="32" t="s">
        <v>1079</v>
      </c>
      <c r="H47" s="32" t="s">
        <v>1080</v>
      </c>
      <c r="I47" s="20" t="s">
        <v>1081</v>
      </c>
      <c r="J47" s="20" t="s">
        <v>1082</v>
      </c>
      <c r="K47" s="20" t="s">
        <v>761</v>
      </c>
      <c r="L47" s="20" t="s">
        <v>713</v>
      </c>
      <c r="M47" s="31" t="s">
        <v>665</v>
      </c>
      <c r="N47" s="32" t="s">
        <v>617</v>
      </c>
      <c r="O47" s="33" t="s">
        <v>569</v>
      </c>
      <c r="P47" s="33" t="s">
        <v>521</v>
      </c>
      <c r="Q47" s="33" t="s">
        <v>473</v>
      </c>
      <c r="R47" s="34" t="s">
        <v>425</v>
      </c>
      <c r="S47" s="34" t="s">
        <v>377</v>
      </c>
      <c r="T47" s="33" t="s">
        <v>137</v>
      </c>
      <c r="U47" s="50" t="s">
        <v>1146</v>
      </c>
      <c r="V47" s="34" t="s">
        <v>185</v>
      </c>
      <c r="W47" s="20" t="s">
        <v>233</v>
      </c>
      <c r="X47" s="32" t="s">
        <v>281</v>
      </c>
      <c r="Y47" s="32" t="s">
        <v>329</v>
      </c>
      <c r="Z47" s="19"/>
      <c r="AA47" s="19"/>
      <c r="AB47" s="19"/>
      <c r="AC47" s="19"/>
    </row>
    <row r="48" spans="1:29" ht="16.5" customHeight="1" thickBot="1" x14ac:dyDescent="0.3">
      <c r="A48" s="86">
        <f t="shared" si="0"/>
        <v>47</v>
      </c>
      <c r="B48" s="37"/>
      <c r="C48" s="33">
        <f t="shared" si="1"/>
        <v>47</v>
      </c>
      <c r="D48" s="33" t="s">
        <v>810</v>
      </c>
      <c r="E48" s="32" t="s">
        <v>1083</v>
      </c>
      <c r="F48" s="20" t="s">
        <v>1084</v>
      </c>
      <c r="G48" s="32" t="s">
        <v>1085</v>
      </c>
      <c r="H48" s="32" t="s">
        <v>1086</v>
      </c>
      <c r="I48" s="20" t="s">
        <v>1087</v>
      </c>
      <c r="J48" s="20" t="s">
        <v>1088</v>
      </c>
      <c r="K48" s="20" t="s">
        <v>762</v>
      </c>
      <c r="L48" s="20" t="s">
        <v>714</v>
      </c>
      <c r="M48" s="31" t="s">
        <v>666</v>
      </c>
      <c r="N48" s="32" t="s">
        <v>618</v>
      </c>
      <c r="O48" s="33" t="s">
        <v>570</v>
      </c>
      <c r="P48" s="33" t="s">
        <v>522</v>
      </c>
      <c r="Q48" s="33" t="s">
        <v>474</v>
      </c>
      <c r="R48" s="34" t="s">
        <v>426</v>
      </c>
      <c r="S48" s="34" t="s">
        <v>378</v>
      </c>
      <c r="T48" s="33" t="s">
        <v>138</v>
      </c>
      <c r="U48" s="50" t="s">
        <v>1147</v>
      </c>
      <c r="V48" s="34" t="s">
        <v>186</v>
      </c>
      <c r="W48" s="20" t="s">
        <v>234</v>
      </c>
      <c r="X48" s="32" t="s">
        <v>282</v>
      </c>
      <c r="Y48" s="32" t="s">
        <v>330</v>
      </c>
      <c r="Z48" s="19"/>
      <c r="AA48" s="19"/>
      <c r="AB48" s="19"/>
      <c r="AC48" s="19"/>
    </row>
    <row r="49" spans="1:29" ht="17.100000000000001" customHeight="1" thickBot="1" x14ac:dyDescent="0.3">
      <c r="A49" s="86">
        <f t="shared" si="0"/>
        <v>48</v>
      </c>
      <c r="B49" s="37"/>
      <c r="C49" s="33">
        <f t="shared" si="1"/>
        <v>48</v>
      </c>
      <c r="D49" s="33" t="s">
        <v>811</v>
      </c>
      <c r="E49" s="32" t="s">
        <v>1089</v>
      </c>
      <c r="F49" s="20" t="s">
        <v>1090</v>
      </c>
      <c r="G49" s="32" t="s">
        <v>1091</v>
      </c>
      <c r="H49" s="32" t="s">
        <v>1092</v>
      </c>
      <c r="I49" s="20" t="s">
        <v>1093</v>
      </c>
      <c r="J49" s="20" t="s">
        <v>1094</v>
      </c>
      <c r="K49" s="20" t="s">
        <v>763</v>
      </c>
      <c r="L49" s="20" t="s">
        <v>715</v>
      </c>
      <c r="M49" s="31" t="s">
        <v>667</v>
      </c>
      <c r="N49" s="32" t="s">
        <v>619</v>
      </c>
      <c r="O49" s="33" t="s">
        <v>571</v>
      </c>
      <c r="P49" s="33" t="s">
        <v>523</v>
      </c>
      <c r="Q49" s="33" t="s">
        <v>475</v>
      </c>
      <c r="R49" s="34" t="s">
        <v>427</v>
      </c>
      <c r="S49" s="34" t="s">
        <v>379</v>
      </c>
      <c r="T49" s="33" t="s">
        <v>139</v>
      </c>
      <c r="U49" s="50" t="s">
        <v>1148</v>
      </c>
      <c r="V49" s="34" t="s">
        <v>187</v>
      </c>
      <c r="W49" s="20" t="s">
        <v>235</v>
      </c>
      <c r="X49" s="32" t="s">
        <v>283</v>
      </c>
      <c r="Y49" s="32" t="s">
        <v>331</v>
      </c>
      <c r="Z49" s="19"/>
      <c r="AA49" s="19"/>
      <c r="AB49" s="19"/>
      <c r="AC49" s="19"/>
    </row>
    <row r="50" spans="1:29" ht="17.100000000000001" customHeight="1" thickBot="1" x14ac:dyDescent="0.3">
      <c r="A50" s="86">
        <f t="shared" si="0"/>
        <v>49</v>
      </c>
      <c r="B50" s="93"/>
      <c r="C50" s="33">
        <f t="shared" si="1"/>
        <v>49</v>
      </c>
      <c r="D50" s="33" t="s">
        <v>812</v>
      </c>
      <c r="E50" s="32" t="s">
        <v>1095</v>
      </c>
      <c r="F50" s="20" t="s">
        <v>1096</v>
      </c>
      <c r="G50" s="32" t="s">
        <v>1097</v>
      </c>
      <c r="H50" s="32" t="s">
        <v>1098</v>
      </c>
      <c r="I50" s="20" t="s">
        <v>1099</v>
      </c>
      <c r="J50" s="20" t="s">
        <v>1100</v>
      </c>
      <c r="K50" s="20" t="s">
        <v>764</v>
      </c>
      <c r="L50" s="20" t="s">
        <v>716</v>
      </c>
      <c r="M50" s="31" t="s">
        <v>668</v>
      </c>
      <c r="N50" s="32" t="s">
        <v>620</v>
      </c>
      <c r="O50" s="33" t="s">
        <v>572</v>
      </c>
      <c r="P50" s="33" t="s">
        <v>524</v>
      </c>
      <c r="Q50" s="33" t="s">
        <v>476</v>
      </c>
      <c r="R50" s="34" t="s">
        <v>428</v>
      </c>
      <c r="S50" s="34" t="s">
        <v>380</v>
      </c>
      <c r="T50" s="33" t="s">
        <v>140</v>
      </c>
      <c r="U50" s="50" t="s">
        <v>1149</v>
      </c>
      <c r="V50" s="34" t="s">
        <v>188</v>
      </c>
      <c r="W50" s="20" t="s">
        <v>236</v>
      </c>
      <c r="X50" s="32" t="s">
        <v>284</v>
      </c>
      <c r="Y50" s="32" t="s">
        <v>332</v>
      </c>
      <c r="Z50" s="19"/>
      <c r="AA50" s="19"/>
      <c r="AB50" s="19"/>
      <c r="AC50" s="19"/>
    </row>
    <row r="52" spans="1:29" x14ac:dyDescent="0.25">
      <c r="C52" s="113"/>
      <c r="D52" s="113"/>
      <c r="E52" s="2"/>
    </row>
  </sheetData>
  <sortState xmlns:xlrd2="http://schemas.microsoft.com/office/spreadsheetml/2017/richdata2" ref="B11:V41">
    <sortCondition ref="G11:G41"/>
  </sortState>
  <mergeCells count="1">
    <mergeCell ref="C52:D52"/>
  </mergeCells>
  <phoneticPr fontId="27" type="noConversion"/>
  <conditionalFormatting sqref="O1:S1 P2:S2 O3:S1048576">
    <cfRule type="notContainsBlanks" dxfId="4" priority="11">
      <formula>LEN(TRIM(O1))&gt;0</formula>
    </cfRule>
  </conditionalFormatting>
  <hyperlinks>
    <hyperlink ref="X2" r:id="rId1" xr:uid="{A65C9306-D510-440D-82D1-EB81D1DDFD43}"/>
  </hyperlinks>
  <pageMargins left="0.36" right="0.26" top="0.41" bottom="0.38" header="0.31496062000000002" footer="0.31496062000000002"/>
  <pageSetup paperSize="9" orientation="landscape" horizontalDpi="4294967292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3"/>
  <sheetViews>
    <sheetView zoomScaleNormal="100" workbookViewId="0">
      <pane xSplit="3" ySplit="1" topLeftCell="R2" activePane="bottomRight" state="frozen"/>
      <selection pane="topRight" activeCell="D1" sqref="D1"/>
      <selection pane="bottomLeft" activeCell="A2" sqref="A2"/>
      <selection pane="bottomRight" activeCell="W2" sqref="W2"/>
    </sheetView>
  </sheetViews>
  <sheetFormatPr defaultRowHeight="15" x14ac:dyDescent="0.25"/>
  <cols>
    <col min="1" max="1" width="3" style="41" customWidth="1"/>
    <col min="2" max="2" width="16.7109375" customWidth="1"/>
    <col min="3" max="3" width="36.7109375" customWidth="1"/>
    <col min="4" max="4" width="14.85546875" style="1" customWidth="1"/>
    <col min="5" max="5" width="6.7109375" customWidth="1"/>
    <col min="6" max="6" width="10.7109375" style="18" customWidth="1"/>
    <col min="7" max="7" width="8.7109375" customWidth="1"/>
    <col min="8" max="8" width="13.7109375" customWidth="1"/>
    <col min="9" max="9" width="14.7109375" customWidth="1"/>
    <col min="10" max="10" width="10.7109375" style="18" customWidth="1"/>
    <col min="11" max="12" width="5.7109375" customWidth="1"/>
    <col min="13" max="13" width="13.7109375" customWidth="1"/>
    <col min="14" max="14" width="10.7109375" customWidth="1"/>
    <col min="15" max="15" width="50.7109375" customWidth="1"/>
    <col min="16" max="16" width="40.7109375" customWidth="1"/>
    <col min="17" max="17" width="22.7109375" customWidth="1"/>
    <col min="18" max="18" width="19.7109375" customWidth="1"/>
    <col min="19" max="19" width="36.7109375" customWidth="1"/>
    <col min="20" max="20" width="5.7109375" customWidth="1"/>
    <col min="21" max="21" width="9.7109375" customWidth="1"/>
    <col min="22" max="22" width="12.7109375" customWidth="1"/>
    <col min="23" max="23" width="30.7109375" customWidth="1"/>
    <col min="24" max="24" width="12.7109375" customWidth="1"/>
  </cols>
  <sheetData>
    <row r="1" spans="1:24" ht="80.25" customHeight="1" thickBot="1" x14ac:dyDescent="0.3">
      <c r="A1" s="23" t="s">
        <v>22</v>
      </c>
      <c r="B1" s="23" t="s">
        <v>0</v>
      </c>
      <c r="C1" s="24" t="s">
        <v>57</v>
      </c>
      <c r="D1" s="24" t="s">
        <v>68</v>
      </c>
      <c r="E1" s="25" t="s">
        <v>69</v>
      </c>
      <c r="F1" s="107" t="s">
        <v>70</v>
      </c>
      <c r="G1" s="24" t="s">
        <v>71</v>
      </c>
      <c r="H1" s="24" t="s">
        <v>72</v>
      </c>
      <c r="I1" s="28" t="s">
        <v>73</v>
      </c>
      <c r="J1" s="103" t="s">
        <v>26</v>
      </c>
      <c r="K1" s="30" t="s">
        <v>30</v>
      </c>
      <c r="L1" s="30" t="s">
        <v>84</v>
      </c>
      <c r="M1" s="24" t="s">
        <v>65</v>
      </c>
      <c r="N1" s="24" t="s">
        <v>66</v>
      </c>
      <c r="O1" s="26" t="s">
        <v>74</v>
      </c>
      <c r="P1" s="102" t="s">
        <v>75</v>
      </c>
      <c r="Q1" s="29" t="s">
        <v>76</v>
      </c>
      <c r="R1" s="27" t="s">
        <v>77</v>
      </c>
      <c r="S1" s="28" t="s">
        <v>78</v>
      </c>
      <c r="T1" s="30" t="s">
        <v>79</v>
      </c>
      <c r="U1" s="30" t="s">
        <v>83</v>
      </c>
      <c r="V1" s="30" t="s">
        <v>80</v>
      </c>
      <c r="W1" s="28" t="s">
        <v>81</v>
      </c>
      <c r="X1" s="110" t="s">
        <v>82</v>
      </c>
    </row>
    <row r="2" spans="1:24" ht="26.25" customHeight="1" thickBot="1" x14ac:dyDescent="0.3">
      <c r="A2" s="38">
        <v>1</v>
      </c>
      <c r="B2" s="92">
        <f>IF(ISBLANK('LISTA GESTANTE DO GOOGLE FORMS'!$C2),"",('LISTA GESTANTE DO GOOGLE FORMS'!$C2))</f>
        <v>45902.368726851855</v>
      </c>
      <c r="C2" s="49" t="str">
        <f>IF(ISBLANK('LISTA GESTANTE DO GOOGLE FORMS'!$D2),"",('LISTA GESTANTE DO GOOGLE FORMS'!$D2))</f>
        <v xml:space="preserve">Stephanie Lorrayne dos Santos Freitas </v>
      </c>
      <c r="D2" s="48" t="str">
        <f>IF(ISBLANK('LISTA GESTANTE DO GOOGLE FORMS'!$E2),"",('LISTA GESTANTE DO GOOGLE FORMS'!$E2))</f>
        <v xml:space="preserve">(31) 99282-4775 </v>
      </c>
      <c r="E2" s="48" t="str">
        <f>IF(ISBLANK('LISTA GESTANTE DO GOOGLE FORMS'!$F2),"",('LISTA GESTANTE DO GOOGLE FORMS'!$F2))</f>
        <v>7º Mês</v>
      </c>
      <c r="F2" s="51">
        <f>IF(ISBLANK('LISTA GESTANTE DO GOOGLE FORMS'!$G2),"",('LISTA GESTANTE DO GOOGLE FORMS'!$G2))</f>
        <v>45969</v>
      </c>
      <c r="G2" s="48" t="str">
        <f>IF(ISBLANK('LISTA GESTANTE DO GOOGLE FORMS'!$H2),"",('LISTA GESTANTE DO GOOGLE FORMS'!$H2))</f>
        <v>Menina</v>
      </c>
      <c r="H2" s="48" t="str">
        <f>IF(ISBLANK('LISTA GESTANTE DO GOOGLE FORMS'!$I2),"",('LISTA GESTANTE DO GOOGLE FORMS'!$I2))</f>
        <v>124.527.806-18</v>
      </c>
      <c r="I2" s="48" t="str">
        <f>IF(ISBLANK('LISTA GESTANTE DO GOOGLE FORMS'!$J2),"",('LISTA GESTANTE DO GOOGLE FORMS'!$J2))</f>
        <v>MG 23.145.828</v>
      </c>
      <c r="J2" s="51">
        <f>IF(ISBLANK('LISTA GESTANTE DO GOOGLE FORMS'!$K2),"",('LISTA GESTANTE DO GOOGLE FORMS'!$K2))</f>
        <v>36883</v>
      </c>
      <c r="K2" s="48">
        <f>IF(ISBLANK('LISTA GESTANTE DO GOOGLE FORMS'!$L2),"",('LISTA GESTANTE DO GOOGLE FORMS'!$L2))</f>
        <v>25</v>
      </c>
      <c r="L2" s="48" t="str">
        <f>IF(ISBLANK('LISTA GESTANTE DO GOOGLE FORMS'!$M2),"",('LISTA GESTANTE DO GOOGLE FORMS'!$M2))</f>
        <v>Não</v>
      </c>
      <c r="M2" s="48" t="str">
        <f>IF(ISBLANK('LISTA GESTANTE DO GOOGLE FORMS'!$N2),"",('LISTA GESTANTE DO GOOGLE FORMS'!$N2))</f>
        <v>União Estável</v>
      </c>
      <c r="N2" s="48" t="str">
        <f>IF(ISBLANK('LISTA GESTANTE DO GOOGLE FORMS'!$O2),"",('LISTA GESTANTE DO GOOGLE FORMS'!$O2))</f>
        <v>Evangélica</v>
      </c>
      <c r="O2" s="48" t="str">
        <f>IF(ISBLANK('LISTA GESTANTE DO GOOGLE FORMS'!$P2),"",('LISTA GESTANTE DO GOOGLE FORMS'!$P2))</f>
        <v>Gestante Antecipada para Outubro para compor o evento</v>
      </c>
      <c r="P2" s="49" t="str">
        <f>IF(ISBLANK('LISTA GESTANTE DO GOOGLE FORMS'!$Q2),"",('LISTA GESTANTE DO GOOGLE FORMS'!$Q2))</f>
        <v>Avenida Jeferson Coelho da Silva, 369 - Bloco 2 Apt 401</v>
      </c>
      <c r="Q2" s="49" t="str">
        <f>IF(ISBLANK('LISTA GESTANTE DO GOOGLE FORMS'!$R2),"",('LISTA GESTANTE DO GOOGLE FORMS'!$R2))</f>
        <v>Parque Estrela do Sul</v>
      </c>
      <c r="R2" s="49" t="str">
        <f>IF(ISBLANK('LISTA GESTANTE DO GOOGLE FORMS'!$S2),"",('LISTA GESTANTE DO GOOGLE FORMS'!$S2))</f>
        <v>Ribeirão das Neves</v>
      </c>
      <c r="S2" s="49" t="str">
        <f>IF(ISBLANK('LISTA GESTANTE DO GOOGLE FORMS'!$T2),"",('LISTA GESTANTE DO GOOGLE FORMS'!$T2))</f>
        <v xml:space="preserve">Stephanie Lorrayne dos Santos Freitas </v>
      </c>
      <c r="T2" s="48" t="str">
        <f>IF(ISBLANK('LISTA GESTANTE DO GOOGLE FORMS'!$U2),"",('LISTA GESTANTE DO GOOGLE FORMS'!$U2))</f>
        <v>1 NP</v>
      </c>
      <c r="U2" s="48" t="str">
        <f>IF(ISBLANK('LISTA GESTANTE DO GOOGLE FORMS'!$V2),"",('LISTA GESTANTE DO GOOGLE FORMS'!$V2))</f>
        <v>Psicólogo</v>
      </c>
      <c r="V2" s="48" t="str">
        <f>IF(ISBLANK('LISTA GESTANTE DO GOOGLE FORMS'!$W2),"",('LISTA GESTANTE DO GOOGLE FORMS'!$W2))</f>
        <v>Bolsa Família</v>
      </c>
      <c r="W2" s="109" t="str">
        <f>IF(ISBLANK('LISTA GESTANTE DO GOOGLE FORMS'!$X2),"",('LISTA GESTANTE DO GOOGLE FORMS'!$X2))</f>
        <v>josecarlos1990@gmail.com</v>
      </c>
      <c r="X2" s="49" t="str">
        <f>IF(ISBLANK('LISTA GESTANTE DO GOOGLE FORMS'!$Y2),"",('LISTA GESTANTE DO GOOGLE FORMS'!$Y2))</f>
        <v>João</v>
      </c>
    </row>
    <row r="3" spans="1:24" ht="27" customHeight="1" thickBot="1" x14ac:dyDescent="0.3">
      <c r="A3" s="39">
        <f t="shared" ref="A3:A34" si="0">A2+1</f>
        <v>2</v>
      </c>
      <c r="B3" s="92">
        <f>IF(ISBLANK('LISTA GESTANTE DO GOOGLE FORMS'!$C3),"",('LISTA GESTANTE DO GOOGLE FORMS'!$C3))</f>
        <v>2</v>
      </c>
      <c r="C3" s="49" t="str">
        <f>IF(ISBLANK('LISTA GESTANTE DO GOOGLE FORMS'!$D3),"",('LISTA GESTANTE DO GOOGLE FORMS'!$D3))</f>
        <v>2 nome da gestante</v>
      </c>
      <c r="D3" s="48" t="str">
        <f>IF(ISBLANK('LISTA GESTANTE DO GOOGLE FORMS'!$E3),"",('LISTA GESTANTE DO GOOGLE FORMS'!$E3))</f>
        <v>2 telefone</v>
      </c>
      <c r="E3" s="48" t="str">
        <f>IF(ISBLANK('LISTA GESTANTE DO GOOGLE FORMS'!$F3),"",('LISTA GESTANTE DO GOOGLE FORMS'!$F3))</f>
        <v>2 gest</v>
      </c>
      <c r="F3" s="51" t="str">
        <f>IF(ISBLANK('LISTA GESTANTE DO GOOGLE FORMS'!$G3),"",('LISTA GESTANTE DO GOOGLE FORMS'!$G3))</f>
        <v>2 parto</v>
      </c>
      <c r="G3" s="48" t="str">
        <f>IF(ISBLANK('LISTA GESTANTE DO GOOGLE FORMS'!$H3),"",('LISTA GESTANTE DO GOOGLE FORMS'!$H3))</f>
        <v>2 sexo</v>
      </c>
      <c r="H3" s="48" t="str">
        <f>IF(ISBLANK('LISTA GESTANTE DO GOOGLE FORMS'!$I3),"",('LISTA GESTANTE DO GOOGLE FORMS'!$I3))</f>
        <v>2 cpf</v>
      </c>
      <c r="I3" s="48" t="str">
        <f>IF(ISBLANK('LISTA GESTANTE DO GOOGLE FORMS'!$J3),"",('LISTA GESTANTE DO GOOGLE FORMS'!$J3))</f>
        <v>2 identidade</v>
      </c>
      <c r="J3" s="51" t="str">
        <f>IF(ISBLANK('LISTA GESTANTE DO GOOGLE FORMS'!$K3),"",('LISTA GESTANTE DO GOOGLE FORMS'!$K3))</f>
        <v>2 D Nascim</v>
      </c>
      <c r="K3" s="48" t="str">
        <f>IF(ISBLANK('LISTA GESTANTE DO GOOGLE FORMS'!$L3),"",('LISTA GESTANTE DO GOOGLE FORMS'!$L3))</f>
        <v>2 idad</v>
      </c>
      <c r="L3" s="48" t="str">
        <f>IF(ISBLANK('LISTA GESTANTE DO GOOGLE FORMS'!$M3),"",('LISTA GESTANTE DO GOOGLE FORMS'!$M3))</f>
        <v>2 trab</v>
      </c>
      <c r="M3" s="48" t="str">
        <f>IF(ISBLANK('LISTA GESTANTE DO GOOGLE FORMS'!$N3),"",('LISTA GESTANTE DO GOOGLE FORMS'!$N3))</f>
        <v>2 Est Civil</v>
      </c>
      <c r="N3" s="48" t="str">
        <f>IF(ISBLANK('LISTA GESTANTE DO GOOGLE FORMS'!$O3),"",('LISTA GESTANTE DO GOOGLE FORMS'!$O3))</f>
        <v>2 Religiao</v>
      </c>
      <c r="O3" s="48" t="str">
        <f>IF(ISBLANK('LISTA GESTANTE DO GOOGLE FORMS'!$P3),"",('LISTA GESTANTE DO GOOGLE FORMS'!$P3))</f>
        <v>2 Observações</v>
      </c>
      <c r="P3" s="49" t="str">
        <f>IF(ISBLANK('LISTA GESTANTE DO GOOGLE FORMS'!$Q3),"",('LISTA GESTANTE DO GOOGLE FORMS'!$Q3))</f>
        <v>2 Endereço</v>
      </c>
      <c r="Q3" s="49" t="str">
        <f>IF(ISBLANK('LISTA GESTANTE DO GOOGLE FORMS'!$R3),"",('LISTA GESTANTE DO GOOGLE FORMS'!$R3))</f>
        <v>2 Bairro</v>
      </c>
      <c r="R3" s="49" t="str">
        <f>IF(ISBLANK('LISTA GESTANTE DO GOOGLE FORMS'!$S3),"",('LISTA GESTANTE DO GOOGLE FORMS'!$S3))</f>
        <v>2 cidade</v>
      </c>
      <c r="S3" s="49" t="str">
        <f>IF(ISBLANK('LISTA GESTANTE DO GOOGLE FORMS'!$T3),"",('LISTA GESTANTE DO GOOGLE FORMS'!$T3))</f>
        <v>2 nome do pai</v>
      </c>
      <c r="T3" s="48" t="str">
        <f>IF(ISBLANK('LISTA GESTANTE DO GOOGLE FORMS'!$U3),"",('LISTA GESTANTE DO GOOGLE FORMS'!$U3))</f>
        <v>2 NP</v>
      </c>
      <c r="U3" s="48" t="str">
        <f>IF(ISBLANK('LISTA GESTANTE DO GOOGLE FORMS'!$V3),"",('LISTA GESTANTE DO GOOGLE FORMS'!$V3))</f>
        <v>2 Atendim</v>
      </c>
      <c r="V3" s="48" t="str">
        <f>IF(ISBLANK('LISTA GESTANTE DO GOOGLE FORMS'!$W3),"",('LISTA GESTANTE DO GOOGLE FORMS'!$W3))</f>
        <v>2 Beneficio</v>
      </c>
      <c r="W3" s="108" t="str">
        <f>IF(ISBLANK('LISTA GESTANTE DO GOOGLE FORMS'!$X3),"",('LISTA GESTANTE DO GOOGLE FORMS'!$X3))</f>
        <v>2 email</v>
      </c>
      <c r="X3" s="49" t="str">
        <f>IF(ISBLANK('LISTA GESTANTE DO GOOGLE FORMS'!$Y3),"",('LISTA GESTANTE DO GOOGLE FORMS'!$Y3))</f>
        <v>2 joao</v>
      </c>
    </row>
    <row r="4" spans="1:24" ht="17.100000000000001" customHeight="1" thickBot="1" x14ac:dyDescent="0.3">
      <c r="A4" s="39">
        <f t="shared" si="0"/>
        <v>3</v>
      </c>
      <c r="B4" s="92">
        <f>IF(ISBLANK('LISTA GESTANTE DO GOOGLE FORMS'!$C4),"",('LISTA GESTANTE DO GOOGLE FORMS'!$C4))</f>
        <v>3</v>
      </c>
      <c r="C4" s="49" t="str">
        <f>IF(ISBLANK('LISTA GESTANTE DO GOOGLE FORMS'!$D4),"",('LISTA GESTANTE DO GOOGLE FORMS'!$D4))</f>
        <v>3 nome da gestante</v>
      </c>
      <c r="D4" s="48" t="str">
        <f>IF(ISBLANK('LISTA GESTANTE DO GOOGLE FORMS'!$E4),"",('LISTA GESTANTE DO GOOGLE FORMS'!$E4))</f>
        <v>3 telefone</v>
      </c>
      <c r="E4" s="48" t="str">
        <f>IF(ISBLANK('LISTA GESTANTE DO GOOGLE FORMS'!$F4),"",('LISTA GESTANTE DO GOOGLE FORMS'!$F4))</f>
        <v>3 gest</v>
      </c>
      <c r="F4" s="51" t="str">
        <f>IF(ISBLANK('LISTA GESTANTE DO GOOGLE FORMS'!$G4),"",('LISTA GESTANTE DO GOOGLE FORMS'!$G4))</f>
        <v>3 parto</v>
      </c>
      <c r="G4" s="48" t="str">
        <f>IF(ISBLANK('LISTA GESTANTE DO GOOGLE FORMS'!$H4),"",('LISTA GESTANTE DO GOOGLE FORMS'!$H4))</f>
        <v>3 sexo</v>
      </c>
      <c r="H4" s="48" t="str">
        <f>IF(ISBLANK('LISTA GESTANTE DO GOOGLE FORMS'!$I4),"",('LISTA GESTANTE DO GOOGLE FORMS'!$I4))</f>
        <v>3 cpf</v>
      </c>
      <c r="I4" s="48" t="str">
        <f>IF(ISBLANK('LISTA GESTANTE DO GOOGLE FORMS'!$J4),"",('LISTA GESTANTE DO GOOGLE FORMS'!$J4))</f>
        <v>3 identidade</v>
      </c>
      <c r="J4" s="51" t="str">
        <f>IF(ISBLANK('LISTA GESTANTE DO GOOGLE FORMS'!$K4),"",('LISTA GESTANTE DO GOOGLE FORMS'!$K4))</f>
        <v>3 D Nascim</v>
      </c>
      <c r="K4" s="48" t="str">
        <f>IF(ISBLANK('LISTA GESTANTE DO GOOGLE FORMS'!$L4),"",('LISTA GESTANTE DO GOOGLE FORMS'!$L4))</f>
        <v>3 idad</v>
      </c>
      <c r="L4" s="48" t="str">
        <f>IF(ISBLANK('LISTA GESTANTE DO GOOGLE FORMS'!$M4),"",('LISTA GESTANTE DO GOOGLE FORMS'!$M4))</f>
        <v>3 trab</v>
      </c>
      <c r="M4" s="48" t="str">
        <f>IF(ISBLANK('LISTA GESTANTE DO GOOGLE FORMS'!$N4),"",('LISTA GESTANTE DO GOOGLE FORMS'!$N4))</f>
        <v>3 Est Civil</v>
      </c>
      <c r="N4" s="48" t="str">
        <f>IF(ISBLANK('LISTA GESTANTE DO GOOGLE FORMS'!$O4),"",('LISTA GESTANTE DO GOOGLE FORMS'!$O4))</f>
        <v>3 Religiao</v>
      </c>
      <c r="O4" s="48" t="str">
        <f>IF(ISBLANK('LISTA GESTANTE DO GOOGLE FORMS'!$P4),"",('LISTA GESTANTE DO GOOGLE FORMS'!$P4))</f>
        <v>3 Observações</v>
      </c>
      <c r="P4" s="49" t="str">
        <f>IF(ISBLANK('LISTA GESTANTE DO GOOGLE FORMS'!$Q4),"",('LISTA GESTANTE DO GOOGLE FORMS'!$Q4))</f>
        <v>3 Endereço</v>
      </c>
      <c r="Q4" s="49" t="str">
        <f>IF(ISBLANK('LISTA GESTANTE DO GOOGLE FORMS'!$R4),"",('LISTA GESTANTE DO GOOGLE FORMS'!$R4))</f>
        <v>3 Bairro</v>
      </c>
      <c r="R4" s="49" t="str">
        <f>IF(ISBLANK('LISTA GESTANTE DO GOOGLE FORMS'!$S4),"",('LISTA GESTANTE DO GOOGLE FORMS'!$S4))</f>
        <v>3 cidade</v>
      </c>
      <c r="S4" s="49" t="str">
        <f>IF(ISBLANK('LISTA GESTANTE DO GOOGLE FORMS'!$T4),"",('LISTA GESTANTE DO GOOGLE FORMS'!$T4))</f>
        <v>3 nome do pai</v>
      </c>
      <c r="T4" s="48" t="str">
        <f>IF(ISBLANK('LISTA GESTANTE DO GOOGLE FORMS'!$U4),"",('LISTA GESTANTE DO GOOGLE FORMS'!$U4))</f>
        <v>3 NP</v>
      </c>
      <c r="U4" s="48" t="str">
        <f>IF(ISBLANK('LISTA GESTANTE DO GOOGLE FORMS'!$V4),"",('LISTA GESTANTE DO GOOGLE FORMS'!$V4))</f>
        <v>3 Atendim</v>
      </c>
      <c r="V4" s="48" t="str">
        <f>IF(ISBLANK('LISTA GESTANTE DO GOOGLE FORMS'!$W4),"",('LISTA GESTANTE DO GOOGLE FORMS'!$W4))</f>
        <v>3 Beneficio</v>
      </c>
      <c r="W4" s="108" t="str">
        <f>IF(ISBLANK('LISTA GESTANTE DO GOOGLE FORMS'!$X4),"",('LISTA GESTANTE DO GOOGLE FORMS'!$X4))</f>
        <v>3 email</v>
      </c>
      <c r="X4" s="49" t="str">
        <f>IF(ISBLANK('LISTA GESTANTE DO GOOGLE FORMS'!$Y4),"",('LISTA GESTANTE DO GOOGLE FORMS'!$Y4))</f>
        <v>3 joao</v>
      </c>
    </row>
    <row r="5" spans="1:24" ht="17.100000000000001" customHeight="1" thickBot="1" x14ac:dyDescent="0.3">
      <c r="A5" s="39">
        <f t="shared" si="0"/>
        <v>4</v>
      </c>
      <c r="B5" s="92">
        <f>IF(ISBLANK('LISTA GESTANTE DO GOOGLE FORMS'!$C5),"",('LISTA GESTANTE DO GOOGLE FORMS'!$C5))</f>
        <v>4</v>
      </c>
      <c r="C5" s="49" t="str">
        <f>IF(ISBLANK('LISTA GESTANTE DO GOOGLE FORMS'!$D5),"",('LISTA GESTANTE DO GOOGLE FORMS'!$D5))</f>
        <v>4 nome da gestante</v>
      </c>
      <c r="D5" s="48" t="str">
        <f>IF(ISBLANK('LISTA GESTANTE DO GOOGLE FORMS'!$E5),"",('LISTA GESTANTE DO GOOGLE FORMS'!$E5))</f>
        <v>4 telefone</v>
      </c>
      <c r="E5" s="48" t="str">
        <f>IF(ISBLANK('LISTA GESTANTE DO GOOGLE FORMS'!$F5),"",('LISTA GESTANTE DO GOOGLE FORMS'!$F5))</f>
        <v>4 gest</v>
      </c>
      <c r="F5" s="51" t="str">
        <f>IF(ISBLANK('LISTA GESTANTE DO GOOGLE FORMS'!$G5),"",('LISTA GESTANTE DO GOOGLE FORMS'!$G5))</f>
        <v>4 parto</v>
      </c>
      <c r="G5" s="48" t="str">
        <f>IF(ISBLANK('LISTA GESTANTE DO GOOGLE FORMS'!$H5),"",('LISTA GESTANTE DO GOOGLE FORMS'!$H5))</f>
        <v>4 sexo</v>
      </c>
      <c r="H5" s="48" t="str">
        <f>IF(ISBLANK('LISTA GESTANTE DO GOOGLE FORMS'!$I5),"",('LISTA GESTANTE DO GOOGLE FORMS'!$I5))</f>
        <v>4 cpf</v>
      </c>
      <c r="I5" s="48" t="str">
        <f>IF(ISBLANK('LISTA GESTANTE DO GOOGLE FORMS'!$J5),"",('LISTA GESTANTE DO GOOGLE FORMS'!$J5))</f>
        <v>4 identidade</v>
      </c>
      <c r="J5" s="51" t="str">
        <f>IF(ISBLANK('LISTA GESTANTE DO GOOGLE FORMS'!$K5),"",('LISTA GESTANTE DO GOOGLE FORMS'!$K5))</f>
        <v>4 D Nascim</v>
      </c>
      <c r="K5" s="48" t="str">
        <f>IF(ISBLANK('LISTA GESTANTE DO GOOGLE FORMS'!$L5),"",('LISTA GESTANTE DO GOOGLE FORMS'!$L5))</f>
        <v>4 idad</v>
      </c>
      <c r="L5" s="48" t="str">
        <f>IF(ISBLANK('LISTA GESTANTE DO GOOGLE FORMS'!$M5),"",('LISTA GESTANTE DO GOOGLE FORMS'!$M5))</f>
        <v>4 trab</v>
      </c>
      <c r="M5" s="48" t="str">
        <f>IF(ISBLANK('LISTA GESTANTE DO GOOGLE FORMS'!$N5),"",('LISTA GESTANTE DO GOOGLE FORMS'!$N5))</f>
        <v>4 Est Civil</v>
      </c>
      <c r="N5" s="48" t="str">
        <f>IF(ISBLANK('LISTA GESTANTE DO GOOGLE FORMS'!$O5),"",('LISTA GESTANTE DO GOOGLE FORMS'!$O5))</f>
        <v>4 Religiao</v>
      </c>
      <c r="O5" s="48" t="str">
        <f>IF(ISBLANK('LISTA GESTANTE DO GOOGLE FORMS'!$P5),"",('LISTA GESTANTE DO GOOGLE FORMS'!$P5))</f>
        <v>4 Observações</v>
      </c>
      <c r="P5" s="49" t="str">
        <f>IF(ISBLANK('LISTA GESTANTE DO GOOGLE FORMS'!$Q5),"",('LISTA GESTANTE DO GOOGLE FORMS'!$Q5))</f>
        <v>4 Endereço</v>
      </c>
      <c r="Q5" s="49" t="str">
        <f>IF(ISBLANK('LISTA GESTANTE DO GOOGLE FORMS'!$R5),"",('LISTA GESTANTE DO GOOGLE FORMS'!$R5))</f>
        <v>4 Bairro</v>
      </c>
      <c r="R5" s="49" t="str">
        <f>IF(ISBLANK('LISTA GESTANTE DO GOOGLE FORMS'!$S5),"",('LISTA GESTANTE DO GOOGLE FORMS'!$S5))</f>
        <v>4 cidade</v>
      </c>
      <c r="S5" s="49" t="str">
        <f>IF(ISBLANK('LISTA GESTANTE DO GOOGLE FORMS'!$T5),"",('LISTA GESTANTE DO GOOGLE FORMS'!$T5))</f>
        <v>4 nome do pai</v>
      </c>
      <c r="T5" s="48" t="str">
        <f>IF(ISBLANK('LISTA GESTANTE DO GOOGLE FORMS'!$U5),"",('LISTA GESTANTE DO GOOGLE FORMS'!$U5))</f>
        <v>4 NP</v>
      </c>
      <c r="U5" s="48" t="str">
        <f>IF(ISBLANK('LISTA GESTANTE DO GOOGLE FORMS'!$V5),"",('LISTA GESTANTE DO GOOGLE FORMS'!$V5))</f>
        <v>4 Atendim</v>
      </c>
      <c r="V5" s="48" t="str">
        <f>IF(ISBLANK('LISTA GESTANTE DO GOOGLE FORMS'!$W5),"",('LISTA GESTANTE DO GOOGLE FORMS'!$W5))</f>
        <v>4 Beneficio</v>
      </c>
      <c r="W5" s="108" t="str">
        <f>IF(ISBLANK('LISTA GESTANTE DO GOOGLE FORMS'!$X5),"",('LISTA GESTANTE DO GOOGLE FORMS'!$X5))</f>
        <v>4 email</v>
      </c>
      <c r="X5" s="49" t="str">
        <f>IF(ISBLANK('LISTA GESTANTE DO GOOGLE FORMS'!$Y5),"",('LISTA GESTANTE DO GOOGLE FORMS'!$Y5))</f>
        <v>4 joao</v>
      </c>
    </row>
    <row r="6" spans="1:24" ht="24" customHeight="1" thickBot="1" x14ac:dyDescent="0.3">
      <c r="A6" s="39">
        <f t="shared" si="0"/>
        <v>5</v>
      </c>
      <c r="B6" s="92">
        <f>IF(ISBLANK('LISTA GESTANTE DO GOOGLE FORMS'!$C6),"",('LISTA GESTANTE DO GOOGLE FORMS'!$C6))</f>
        <v>5</v>
      </c>
      <c r="C6" s="49" t="str">
        <f>IF(ISBLANK('LISTA GESTANTE DO GOOGLE FORMS'!$D6),"",('LISTA GESTANTE DO GOOGLE FORMS'!$D6))</f>
        <v>5 nome da gestante</v>
      </c>
      <c r="D6" s="48" t="str">
        <f>IF(ISBLANK('LISTA GESTANTE DO GOOGLE FORMS'!$E6),"",('LISTA GESTANTE DO GOOGLE FORMS'!$E6))</f>
        <v>5 telefone</v>
      </c>
      <c r="E6" s="48" t="str">
        <f>IF(ISBLANK('LISTA GESTANTE DO GOOGLE FORMS'!$F6),"",('LISTA GESTANTE DO GOOGLE FORMS'!$F6))</f>
        <v>5 gest</v>
      </c>
      <c r="F6" s="51" t="str">
        <f>IF(ISBLANK('LISTA GESTANTE DO GOOGLE FORMS'!$G6),"",('LISTA GESTANTE DO GOOGLE FORMS'!$G6))</f>
        <v>5 parto</v>
      </c>
      <c r="G6" s="48" t="str">
        <f>IF(ISBLANK('LISTA GESTANTE DO GOOGLE FORMS'!$H6),"",('LISTA GESTANTE DO GOOGLE FORMS'!$H6))</f>
        <v>5 sexo</v>
      </c>
      <c r="H6" s="48" t="str">
        <f>IF(ISBLANK('LISTA GESTANTE DO GOOGLE FORMS'!$I6),"",('LISTA GESTANTE DO GOOGLE FORMS'!$I6))</f>
        <v>5 cpf</v>
      </c>
      <c r="I6" s="48" t="str">
        <f>IF(ISBLANK('LISTA GESTANTE DO GOOGLE FORMS'!$J6),"",('LISTA GESTANTE DO GOOGLE FORMS'!$J6))</f>
        <v>5 identidade</v>
      </c>
      <c r="J6" s="51" t="str">
        <f>IF(ISBLANK('LISTA GESTANTE DO GOOGLE FORMS'!$K6),"",('LISTA GESTANTE DO GOOGLE FORMS'!$K6))</f>
        <v>5 D Nascim</v>
      </c>
      <c r="K6" s="48" t="str">
        <f>IF(ISBLANK('LISTA GESTANTE DO GOOGLE FORMS'!$L6),"",('LISTA GESTANTE DO GOOGLE FORMS'!$L6))</f>
        <v>5 idad</v>
      </c>
      <c r="L6" s="48" t="str">
        <f>IF(ISBLANK('LISTA GESTANTE DO GOOGLE FORMS'!$M6),"",('LISTA GESTANTE DO GOOGLE FORMS'!$M6))</f>
        <v>5 trab</v>
      </c>
      <c r="M6" s="48" t="str">
        <f>IF(ISBLANK('LISTA GESTANTE DO GOOGLE FORMS'!$N6),"",('LISTA GESTANTE DO GOOGLE FORMS'!$N6))</f>
        <v>5 Est Civil</v>
      </c>
      <c r="N6" s="48" t="str">
        <f>IF(ISBLANK('LISTA GESTANTE DO GOOGLE FORMS'!$O6),"",('LISTA GESTANTE DO GOOGLE FORMS'!$O6))</f>
        <v>5 Religiao</v>
      </c>
      <c r="O6" s="48" t="str">
        <f>IF(ISBLANK('LISTA GESTANTE DO GOOGLE FORMS'!$P6),"",('LISTA GESTANTE DO GOOGLE FORMS'!$P6))</f>
        <v>5 Observações</v>
      </c>
      <c r="P6" s="49" t="str">
        <f>IF(ISBLANK('LISTA GESTANTE DO GOOGLE FORMS'!$Q6),"",('LISTA GESTANTE DO GOOGLE FORMS'!$Q6))</f>
        <v>5 Endereço</v>
      </c>
      <c r="Q6" s="49" t="str">
        <f>IF(ISBLANK('LISTA GESTANTE DO GOOGLE FORMS'!$R6),"",('LISTA GESTANTE DO GOOGLE FORMS'!$R6))</f>
        <v>5 Bairro</v>
      </c>
      <c r="R6" s="49" t="str">
        <f>IF(ISBLANK('LISTA GESTANTE DO GOOGLE FORMS'!$S6),"",('LISTA GESTANTE DO GOOGLE FORMS'!$S6))</f>
        <v>5 cidade</v>
      </c>
      <c r="S6" s="49" t="str">
        <f>IF(ISBLANK('LISTA GESTANTE DO GOOGLE FORMS'!$T6),"",('LISTA GESTANTE DO GOOGLE FORMS'!$T6))</f>
        <v>5 nome do pai</v>
      </c>
      <c r="T6" s="48" t="str">
        <f>IF(ISBLANK('LISTA GESTANTE DO GOOGLE FORMS'!$U6),"",('LISTA GESTANTE DO GOOGLE FORMS'!$U6))</f>
        <v>5 NP</v>
      </c>
      <c r="U6" s="48" t="str">
        <f>IF(ISBLANK('LISTA GESTANTE DO GOOGLE FORMS'!$V6),"",('LISTA GESTANTE DO GOOGLE FORMS'!$V6))</f>
        <v>5 Atendim</v>
      </c>
      <c r="V6" s="48" t="str">
        <f>IF(ISBLANK('LISTA GESTANTE DO GOOGLE FORMS'!$W6),"",('LISTA GESTANTE DO GOOGLE FORMS'!$W6))</f>
        <v>5 Beneficio</v>
      </c>
      <c r="W6" s="108" t="str">
        <f>IF(ISBLANK('LISTA GESTANTE DO GOOGLE FORMS'!$X6),"",('LISTA GESTANTE DO GOOGLE FORMS'!$X6))</f>
        <v>5 email</v>
      </c>
      <c r="X6" s="49" t="str">
        <f>IF(ISBLANK('LISTA GESTANTE DO GOOGLE FORMS'!$Y6),"",('LISTA GESTANTE DO GOOGLE FORMS'!$Y6))</f>
        <v>5 joao</v>
      </c>
    </row>
    <row r="7" spans="1:24" ht="17.100000000000001" customHeight="1" thickBot="1" x14ac:dyDescent="0.3">
      <c r="A7" s="39">
        <f t="shared" si="0"/>
        <v>6</v>
      </c>
      <c r="B7" s="92">
        <f>IF(ISBLANK('LISTA GESTANTE DO GOOGLE FORMS'!$C7),"",('LISTA GESTANTE DO GOOGLE FORMS'!$C7))</f>
        <v>6</v>
      </c>
      <c r="C7" s="49" t="str">
        <f>IF(ISBLANK('LISTA GESTANTE DO GOOGLE FORMS'!$D7),"",('LISTA GESTANTE DO GOOGLE FORMS'!$D7))</f>
        <v>6 nome da gestante</v>
      </c>
      <c r="D7" s="48" t="str">
        <f>IF(ISBLANK('LISTA GESTANTE DO GOOGLE FORMS'!$E7),"",('LISTA GESTANTE DO GOOGLE FORMS'!$E7))</f>
        <v>6 telefone</v>
      </c>
      <c r="E7" s="48" t="str">
        <f>IF(ISBLANK('LISTA GESTANTE DO GOOGLE FORMS'!$F7),"",('LISTA GESTANTE DO GOOGLE FORMS'!$F7))</f>
        <v>6 gest</v>
      </c>
      <c r="F7" s="51" t="str">
        <f>IF(ISBLANK('LISTA GESTANTE DO GOOGLE FORMS'!$G7),"",('LISTA GESTANTE DO GOOGLE FORMS'!$G7))</f>
        <v>6 parto</v>
      </c>
      <c r="G7" s="48" t="str">
        <f>IF(ISBLANK('LISTA GESTANTE DO GOOGLE FORMS'!$H7),"",('LISTA GESTANTE DO GOOGLE FORMS'!$H7))</f>
        <v>6 sexo</v>
      </c>
      <c r="H7" s="48" t="str">
        <f>IF(ISBLANK('LISTA GESTANTE DO GOOGLE FORMS'!$I7),"",('LISTA GESTANTE DO GOOGLE FORMS'!$I7))</f>
        <v>6 cpf</v>
      </c>
      <c r="I7" s="48" t="str">
        <f>IF(ISBLANK('LISTA GESTANTE DO GOOGLE FORMS'!$J7),"",('LISTA GESTANTE DO GOOGLE FORMS'!$J7))</f>
        <v>6 identidade</v>
      </c>
      <c r="J7" s="51" t="str">
        <f>IF(ISBLANK('LISTA GESTANTE DO GOOGLE FORMS'!$K7),"",('LISTA GESTANTE DO GOOGLE FORMS'!$K7))</f>
        <v>6 D Nascim</v>
      </c>
      <c r="K7" s="48" t="str">
        <f>IF(ISBLANK('LISTA GESTANTE DO GOOGLE FORMS'!$L7),"",('LISTA GESTANTE DO GOOGLE FORMS'!$L7))</f>
        <v>6 idad</v>
      </c>
      <c r="L7" s="48" t="str">
        <f>IF(ISBLANK('LISTA GESTANTE DO GOOGLE FORMS'!$M7),"",('LISTA GESTANTE DO GOOGLE FORMS'!$M7))</f>
        <v>6 trab</v>
      </c>
      <c r="M7" s="48" t="str">
        <f>IF(ISBLANK('LISTA GESTANTE DO GOOGLE FORMS'!$N7),"",('LISTA GESTANTE DO GOOGLE FORMS'!$N7))</f>
        <v>6 Est Civil</v>
      </c>
      <c r="N7" s="48" t="str">
        <f>IF(ISBLANK('LISTA GESTANTE DO GOOGLE FORMS'!$O7),"",('LISTA GESTANTE DO GOOGLE FORMS'!$O7))</f>
        <v>6 Religiao</v>
      </c>
      <c r="O7" s="48" t="str">
        <f>IF(ISBLANK('LISTA GESTANTE DO GOOGLE FORMS'!$P7),"",('LISTA GESTANTE DO GOOGLE FORMS'!$P7))</f>
        <v>6 Observações</v>
      </c>
      <c r="P7" s="49" t="str">
        <f>IF(ISBLANK('LISTA GESTANTE DO GOOGLE FORMS'!$Q7),"",('LISTA GESTANTE DO GOOGLE FORMS'!$Q7))</f>
        <v>6 Endereço</v>
      </c>
      <c r="Q7" s="49" t="str">
        <f>IF(ISBLANK('LISTA GESTANTE DO GOOGLE FORMS'!$R7),"",('LISTA GESTANTE DO GOOGLE FORMS'!$R7))</f>
        <v>6 Bairro</v>
      </c>
      <c r="R7" s="49" t="str">
        <f>IF(ISBLANK('LISTA GESTANTE DO GOOGLE FORMS'!$S7),"",('LISTA GESTANTE DO GOOGLE FORMS'!$S7))</f>
        <v>6 cidade</v>
      </c>
      <c r="S7" s="49" t="str">
        <f>IF(ISBLANK('LISTA GESTANTE DO GOOGLE FORMS'!$T7),"",('LISTA GESTANTE DO GOOGLE FORMS'!$T7))</f>
        <v>6 nome do pai</v>
      </c>
      <c r="T7" s="48" t="str">
        <f>IF(ISBLANK('LISTA GESTANTE DO GOOGLE FORMS'!$U7),"",('LISTA GESTANTE DO GOOGLE FORMS'!$U7))</f>
        <v>6 NP</v>
      </c>
      <c r="U7" s="48" t="str">
        <f>IF(ISBLANK('LISTA GESTANTE DO GOOGLE FORMS'!$V7),"",('LISTA GESTANTE DO GOOGLE FORMS'!$V7))</f>
        <v>6 Atendim</v>
      </c>
      <c r="V7" s="48" t="str">
        <f>IF(ISBLANK('LISTA GESTANTE DO GOOGLE FORMS'!$W7),"",('LISTA GESTANTE DO GOOGLE FORMS'!$W7))</f>
        <v>6 Beneficio</v>
      </c>
      <c r="W7" s="108" t="str">
        <f>IF(ISBLANK('LISTA GESTANTE DO GOOGLE FORMS'!$X7),"",('LISTA GESTANTE DO GOOGLE FORMS'!$X7))</f>
        <v>6 email</v>
      </c>
      <c r="X7" s="49" t="str">
        <f>IF(ISBLANK('LISTA GESTANTE DO GOOGLE FORMS'!$Y7),"",('LISTA GESTANTE DO GOOGLE FORMS'!$Y7))</f>
        <v>6 joao</v>
      </c>
    </row>
    <row r="8" spans="1:24" ht="24" customHeight="1" thickBot="1" x14ac:dyDescent="0.3">
      <c r="A8" s="39">
        <f t="shared" si="0"/>
        <v>7</v>
      </c>
      <c r="B8" s="92">
        <f>IF(ISBLANK('LISTA GESTANTE DO GOOGLE FORMS'!$C8),"",('LISTA GESTANTE DO GOOGLE FORMS'!$C8))</f>
        <v>7</v>
      </c>
      <c r="C8" s="49" t="str">
        <f>IF(ISBLANK('LISTA GESTANTE DO GOOGLE FORMS'!$D8),"",('LISTA GESTANTE DO GOOGLE FORMS'!$D8))</f>
        <v>7 nome da gestante</v>
      </c>
      <c r="D8" s="48" t="str">
        <f>IF(ISBLANK('LISTA GESTANTE DO GOOGLE FORMS'!$E8),"",('LISTA GESTANTE DO GOOGLE FORMS'!$E8))</f>
        <v>7 telefone</v>
      </c>
      <c r="E8" s="48" t="str">
        <f>IF(ISBLANK('LISTA GESTANTE DO GOOGLE FORMS'!$F8),"",('LISTA GESTANTE DO GOOGLE FORMS'!$F8))</f>
        <v>7 gest</v>
      </c>
      <c r="F8" s="51" t="str">
        <f>IF(ISBLANK('LISTA GESTANTE DO GOOGLE FORMS'!$G8),"",('LISTA GESTANTE DO GOOGLE FORMS'!$G8))</f>
        <v>7 parto</v>
      </c>
      <c r="G8" s="48" t="str">
        <f>IF(ISBLANK('LISTA GESTANTE DO GOOGLE FORMS'!$H8),"",('LISTA GESTANTE DO GOOGLE FORMS'!$H8))</f>
        <v>7 sexo</v>
      </c>
      <c r="H8" s="48" t="str">
        <f>IF(ISBLANK('LISTA GESTANTE DO GOOGLE FORMS'!$I8),"",('LISTA GESTANTE DO GOOGLE FORMS'!$I8))</f>
        <v>7 cpf</v>
      </c>
      <c r="I8" s="48" t="str">
        <f>IF(ISBLANK('LISTA GESTANTE DO GOOGLE FORMS'!$J8),"",('LISTA GESTANTE DO GOOGLE FORMS'!$J8))</f>
        <v>7 identidade</v>
      </c>
      <c r="J8" s="51" t="str">
        <f>IF(ISBLANK('LISTA GESTANTE DO GOOGLE FORMS'!$K8),"",('LISTA GESTANTE DO GOOGLE FORMS'!$K8))</f>
        <v>7 D Nascim</v>
      </c>
      <c r="K8" s="48" t="str">
        <f>IF(ISBLANK('LISTA GESTANTE DO GOOGLE FORMS'!$L8),"",('LISTA GESTANTE DO GOOGLE FORMS'!$L8))</f>
        <v>7 idad</v>
      </c>
      <c r="L8" s="48" t="str">
        <f>IF(ISBLANK('LISTA GESTANTE DO GOOGLE FORMS'!$M8),"",('LISTA GESTANTE DO GOOGLE FORMS'!$M8))</f>
        <v>7 trab</v>
      </c>
      <c r="M8" s="48" t="str">
        <f>IF(ISBLANK('LISTA GESTANTE DO GOOGLE FORMS'!$N8),"",('LISTA GESTANTE DO GOOGLE FORMS'!$N8))</f>
        <v>7 Est Civil</v>
      </c>
      <c r="N8" s="48" t="str">
        <f>IF(ISBLANK('LISTA GESTANTE DO GOOGLE FORMS'!$O8),"",('LISTA GESTANTE DO GOOGLE FORMS'!$O8))</f>
        <v>7 Religiao</v>
      </c>
      <c r="O8" s="48" t="str">
        <f>IF(ISBLANK('LISTA GESTANTE DO GOOGLE FORMS'!$P8),"",('LISTA GESTANTE DO GOOGLE FORMS'!$P8))</f>
        <v>7 Observações</v>
      </c>
      <c r="P8" s="49" t="str">
        <f>IF(ISBLANK('LISTA GESTANTE DO GOOGLE FORMS'!$Q8),"",('LISTA GESTANTE DO GOOGLE FORMS'!$Q8))</f>
        <v>7 Endereço</v>
      </c>
      <c r="Q8" s="49" t="str">
        <f>IF(ISBLANK('LISTA GESTANTE DO GOOGLE FORMS'!$R8),"",('LISTA GESTANTE DO GOOGLE FORMS'!$R8))</f>
        <v>7 Bairro</v>
      </c>
      <c r="R8" s="49" t="str">
        <f>IF(ISBLANK('LISTA GESTANTE DO GOOGLE FORMS'!$S8),"",('LISTA GESTANTE DO GOOGLE FORMS'!$S8))</f>
        <v>7 cidade</v>
      </c>
      <c r="S8" s="49" t="str">
        <f>IF(ISBLANK('LISTA GESTANTE DO GOOGLE FORMS'!$T8),"",('LISTA GESTANTE DO GOOGLE FORMS'!$T8))</f>
        <v>7 nome do pai</v>
      </c>
      <c r="T8" s="48" t="str">
        <f>IF(ISBLANK('LISTA GESTANTE DO GOOGLE FORMS'!$U8),"",('LISTA GESTANTE DO GOOGLE FORMS'!$U8))</f>
        <v>7 NP</v>
      </c>
      <c r="U8" s="48" t="str">
        <f>IF(ISBLANK('LISTA GESTANTE DO GOOGLE FORMS'!$V8),"",('LISTA GESTANTE DO GOOGLE FORMS'!$V8))</f>
        <v>7 Atendim</v>
      </c>
      <c r="V8" s="48" t="str">
        <f>IF(ISBLANK('LISTA GESTANTE DO GOOGLE FORMS'!$W8),"",('LISTA GESTANTE DO GOOGLE FORMS'!$W8))</f>
        <v>7 Beneficio</v>
      </c>
      <c r="W8" s="108" t="str">
        <f>IF(ISBLANK('LISTA GESTANTE DO GOOGLE FORMS'!$X8),"",('LISTA GESTANTE DO GOOGLE FORMS'!$X8))</f>
        <v>7 email</v>
      </c>
      <c r="X8" s="49" t="str">
        <f>IF(ISBLANK('LISTA GESTANTE DO GOOGLE FORMS'!$Y8),"",('LISTA GESTANTE DO GOOGLE FORMS'!$Y8))</f>
        <v>7 joao</v>
      </c>
    </row>
    <row r="9" spans="1:24" ht="24" customHeight="1" thickBot="1" x14ac:dyDescent="0.3">
      <c r="A9" s="39">
        <f t="shared" si="0"/>
        <v>8</v>
      </c>
      <c r="B9" s="92">
        <f>IF(ISBLANK('LISTA GESTANTE DO GOOGLE FORMS'!$C9),"",('LISTA GESTANTE DO GOOGLE FORMS'!$C9))</f>
        <v>8</v>
      </c>
      <c r="C9" s="49" t="str">
        <f>IF(ISBLANK('LISTA GESTANTE DO GOOGLE FORMS'!$D9),"",('LISTA GESTANTE DO GOOGLE FORMS'!$D9))</f>
        <v>8 nome da gestante</v>
      </c>
      <c r="D9" s="48" t="str">
        <f>IF(ISBLANK('LISTA GESTANTE DO GOOGLE FORMS'!$E9),"",('LISTA GESTANTE DO GOOGLE FORMS'!$E9))</f>
        <v>8 telefone</v>
      </c>
      <c r="E9" s="48" t="str">
        <f>IF(ISBLANK('LISTA GESTANTE DO GOOGLE FORMS'!$F9),"",('LISTA GESTANTE DO GOOGLE FORMS'!$F9))</f>
        <v>8 gest</v>
      </c>
      <c r="F9" s="51" t="str">
        <f>IF(ISBLANK('LISTA GESTANTE DO GOOGLE FORMS'!$G9),"",('LISTA GESTANTE DO GOOGLE FORMS'!$G9))</f>
        <v>8 parto</v>
      </c>
      <c r="G9" s="48" t="str">
        <f>IF(ISBLANK('LISTA GESTANTE DO GOOGLE FORMS'!$H9),"",('LISTA GESTANTE DO GOOGLE FORMS'!$H9))</f>
        <v>8 sexo</v>
      </c>
      <c r="H9" s="48" t="str">
        <f>IF(ISBLANK('LISTA GESTANTE DO GOOGLE FORMS'!$I9),"",('LISTA GESTANTE DO GOOGLE FORMS'!$I9))</f>
        <v>8 cpf</v>
      </c>
      <c r="I9" s="48" t="str">
        <f>IF(ISBLANK('LISTA GESTANTE DO GOOGLE FORMS'!$J9),"",('LISTA GESTANTE DO GOOGLE FORMS'!$J9))</f>
        <v>8 identidade</v>
      </c>
      <c r="J9" s="51" t="str">
        <f>IF(ISBLANK('LISTA GESTANTE DO GOOGLE FORMS'!$K9),"",('LISTA GESTANTE DO GOOGLE FORMS'!$K9))</f>
        <v>8 D Nascim</v>
      </c>
      <c r="K9" s="48" t="str">
        <f>IF(ISBLANK('LISTA GESTANTE DO GOOGLE FORMS'!$L9),"",('LISTA GESTANTE DO GOOGLE FORMS'!$L9))</f>
        <v>8 idad</v>
      </c>
      <c r="L9" s="48" t="str">
        <f>IF(ISBLANK('LISTA GESTANTE DO GOOGLE FORMS'!$M9),"",('LISTA GESTANTE DO GOOGLE FORMS'!$M9))</f>
        <v>8 trab</v>
      </c>
      <c r="M9" s="48" t="str">
        <f>IF(ISBLANK('LISTA GESTANTE DO GOOGLE FORMS'!$N9),"",('LISTA GESTANTE DO GOOGLE FORMS'!$N9))</f>
        <v>8 Est Civil</v>
      </c>
      <c r="N9" s="48" t="str">
        <f>IF(ISBLANK('LISTA GESTANTE DO GOOGLE FORMS'!$O9),"",('LISTA GESTANTE DO GOOGLE FORMS'!$O9))</f>
        <v>8 Religiao</v>
      </c>
      <c r="O9" s="48" t="str">
        <f>IF(ISBLANK('LISTA GESTANTE DO GOOGLE FORMS'!$P9),"",('LISTA GESTANTE DO GOOGLE FORMS'!$P9))</f>
        <v>8 Observações</v>
      </c>
      <c r="P9" s="49" t="str">
        <f>IF(ISBLANK('LISTA GESTANTE DO GOOGLE FORMS'!$Q9),"",('LISTA GESTANTE DO GOOGLE FORMS'!$Q9))</f>
        <v>8 Endereço</v>
      </c>
      <c r="Q9" s="49" t="str">
        <f>IF(ISBLANK('LISTA GESTANTE DO GOOGLE FORMS'!$R9),"",('LISTA GESTANTE DO GOOGLE FORMS'!$R9))</f>
        <v>8 Bairro</v>
      </c>
      <c r="R9" s="49" t="str">
        <f>IF(ISBLANK('LISTA GESTANTE DO GOOGLE FORMS'!$S9),"",('LISTA GESTANTE DO GOOGLE FORMS'!$S9))</f>
        <v>8 cidade</v>
      </c>
      <c r="S9" s="49" t="str">
        <f>IF(ISBLANK('LISTA GESTANTE DO GOOGLE FORMS'!$T9),"",('LISTA GESTANTE DO GOOGLE FORMS'!$T9))</f>
        <v>8 nome do pai</v>
      </c>
      <c r="T9" s="48" t="str">
        <f>IF(ISBLANK('LISTA GESTANTE DO GOOGLE FORMS'!$U9),"",('LISTA GESTANTE DO GOOGLE FORMS'!$U9))</f>
        <v>8 NP</v>
      </c>
      <c r="U9" s="48" t="str">
        <f>IF(ISBLANK('LISTA GESTANTE DO GOOGLE FORMS'!$V9),"",('LISTA GESTANTE DO GOOGLE FORMS'!$V9))</f>
        <v>8 Atendim</v>
      </c>
      <c r="V9" s="48" t="str">
        <f>IF(ISBLANK('LISTA GESTANTE DO GOOGLE FORMS'!$W9),"",('LISTA GESTANTE DO GOOGLE FORMS'!$W9))</f>
        <v>8 Beneficio</v>
      </c>
      <c r="W9" s="108" t="str">
        <f>IF(ISBLANK('LISTA GESTANTE DO GOOGLE FORMS'!$X9),"",('LISTA GESTANTE DO GOOGLE FORMS'!$X9))</f>
        <v>8 email</v>
      </c>
      <c r="X9" s="49" t="str">
        <f>IF(ISBLANK('LISTA GESTANTE DO GOOGLE FORMS'!$Y9),"",('LISTA GESTANTE DO GOOGLE FORMS'!$Y9))</f>
        <v>8 joao</v>
      </c>
    </row>
    <row r="10" spans="1:24" ht="24" customHeight="1" thickBot="1" x14ac:dyDescent="0.3">
      <c r="A10" s="39">
        <f t="shared" si="0"/>
        <v>9</v>
      </c>
      <c r="B10" s="92">
        <f>IF(ISBLANK('LISTA GESTANTE DO GOOGLE FORMS'!$C10),"",('LISTA GESTANTE DO GOOGLE FORMS'!$C10))</f>
        <v>9</v>
      </c>
      <c r="C10" s="49" t="str">
        <f>IF(ISBLANK('LISTA GESTANTE DO GOOGLE FORMS'!$D10),"",('LISTA GESTANTE DO GOOGLE FORMS'!$D10))</f>
        <v>9 nome da gestante</v>
      </c>
      <c r="D10" s="48" t="str">
        <f>IF(ISBLANK('LISTA GESTANTE DO GOOGLE FORMS'!$E10),"",('LISTA GESTANTE DO GOOGLE FORMS'!$E10))</f>
        <v>9 telefone</v>
      </c>
      <c r="E10" s="48" t="str">
        <f>IF(ISBLANK('LISTA GESTANTE DO GOOGLE FORMS'!$F10),"",('LISTA GESTANTE DO GOOGLE FORMS'!$F10))</f>
        <v>9 gest</v>
      </c>
      <c r="F10" s="51" t="str">
        <f>IF(ISBLANK('LISTA GESTANTE DO GOOGLE FORMS'!$G10),"",('LISTA GESTANTE DO GOOGLE FORMS'!$G10))</f>
        <v>9 parto</v>
      </c>
      <c r="G10" s="48" t="str">
        <f>IF(ISBLANK('LISTA GESTANTE DO GOOGLE FORMS'!$H10),"",('LISTA GESTANTE DO GOOGLE FORMS'!$H10))</f>
        <v>9 sexo</v>
      </c>
      <c r="H10" s="48" t="str">
        <f>IF(ISBLANK('LISTA GESTANTE DO GOOGLE FORMS'!$I10),"",('LISTA GESTANTE DO GOOGLE FORMS'!$I10))</f>
        <v>9 cpf</v>
      </c>
      <c r="I10" s="48" t="str">
        <f>IF(ISBLANK('LISTA GESTANTE DO GOOGLE FORMS'!$J10),"",('LISTA GESTANTE DO GOOGLE FORMS'!$J10))</f>
        <v>9 identidade</v>
      </c>
      <c r="J10" s="51" t="str">
        <f>IF(ISBLANK('LISTA GESTANTE DO GOOGLE FORMS'!$K10),"",('LISTA GESTANTE DO GOOGLE FORMS'!$K10))</f>
        <v>9 D Nascim</v>
      </c>
      <c r="K10" s="48" t="str">
        <f>IF(ISBLANK('LISTA GESTANTE DO GOOGLE FORMS'!$L10),"",('LISTA GESTANTE DO GOOGLE FORMS'!$L10))</f>
        <v>9 idad</v>
      </c>
      <c r="L10" s="48" t="str">
        <f>IF(ISBLANK('LISTA GESTANTE DO GOOGLE FORMS'!$M10),"",('LISTA GESTANTE DO GOOGLE FORMS'!$M10))</f>
        <v>9 trab</v>
      </c>
      <c r="M10" s="48" t="str">
        <f>IF(ISBLANK('LISTA GESTANTE DO GOOGLE FORMS'!$N10),"",('LISTA GESTANTE DO GOOGLE FORMS'!$N10))</f>
        <v>9 Est Civil</v>
      </c>
      <c r="N10" s="48" t="str">
        <f>IF(ISBLANK('LISTA GESTANTE DO GOOGLE FORMS'!$O10),"",('LISTA GESTANTE DO GOOGLE FORMS'!$O10))</f>
        <v>9 Religiao</v>
      </c>
      <c r="O10" s="48" t="str">
        <f>IF(ISBLANK('LISTA GESTANTE DO GOOGLE FORMS'!$P10),"",('LISTA GESTANTE DO GOOGLE FORMS'!$P10))</f>
        <v>9 Observações</v>
      </c>
      <c r="P10" s="49" t="str">
        <f>IF(ISBLANK('LISTA GESTANTE DO GOOGLE FORMS'!$Q10),"",('LISTA GESTANTE DO GOOGLE FORMS'!$Q10))</f>
        <v>9 Endereço</v>
      </c>
      <c r="Q10" s="49" t="str">
        <f>IF(ISBLANK('LISTA GESTANTE DO GOOGLE FORMS'!$R10),"",('LISTA GESTANTE DO GOOGLE FORMS'!$R10))</f>
        <v>9 Bairro</v>
      </c>
      <c r="R10" s="49" t="str">
        <f>IF(ISBLANK('LISTA GESTANTE DO GOOGLE FORMS'!$S10),"",('LISTA GESTANTE DO GOOGLE FORMS'!$S10))</f>
        <v>9 cidade</v>
      </c>
      <c r="S10" s="49" t="str">
        <f>IF(ISBLANK('LISTA GESTANTE DO GOOGLE FORMS'!$T10),"",('LISTA GESTANTE DO GOOGLE FORMS'!$T10))</f>
        <v>9 nome do pai</v>
      </c>
      <c r="T10" s="48" t="str">
        <f>IF(ISBLANK('LISTA GESTANTE DO GOOGLE FORMS'!$U10),"",('LISTA GESTANTE DO GOOGLE FORMS'!$U10))</f>
        <v>9 NP</v>
      </c>
      <c r="U10" s="48" t="str">
        <f>IF(ISBLANK('LISTA GESTANTE DO GOOGLE FORMS'!$V10),"",('LISTA GESTANTE DO GOOGLE FORMS'!$V10))</f>
        <v>9 Atendim</v>
      </c>
      <c r="V10" s="48" t="str">
        <f>IF(ISBLANK('LISTA GESTANTE DO GOOGLE FORMS'!$W10),"",('LISTA GESTANTE DO GOOGLE FORMS'!$W10))</f>
        <v>9 Beneficio</v>
      </c>
      <c r="W10" s="108" t="str">
        <f>IF(ISBLANK('LISTA GESTANTE DO GOOGLE FORMS'!$X10),"",('LISTA GESTANTE DO GOOGLE FORMS'!$X10))</f>
        <v>9 email</v>
      </c>
      <c r="X10" s="49" t="str">
        <f>IF(ISBLANK('LISTA GESTANTE DO GOOGLE FORMS'!$Y10),"",('LISTA GESTANTE DO GOOGLE FORMS'!$Y10))</f>
        <v>9 joao</v>
      </c>
    </row>
    <row r="11" spans="1:24" ht="17.100000000000001" customHeight="1" thickBot="1" x14ac:dyDescent="0.3">
      <c r="A11" s="39">
        <f t="shared" si="0"/>
        <v>10</v>
      </c>
      <c r="B11" s="92">
        <f>IF(ISBLANK('LISTA GESTANTE DO GOOGLE FORMS'!$C11),"",('LISTA GESTANTE DO GOOGLE FORMS'!$C11))</f>
        <v>10</v>
      </c>
      <c r="C11" s="49" t="str">
        <f>IF(ISBLANK('LISTA GESTANTE DO GOOGLE FORMS'!$D11),"",('LISTA GESTANTE DO GOOGLE FORMS'!$D11))</f>
        <v>10 nome da gestante</v>
      </c>
      <c r="D11" s="48" t="str">
        <f>IF(ISBLANK('LISTA GESTANTE DO GOOGLE FORMS'!$E11),"",('LISTA GESTANTE DO GOOGLE FORMS'!$E11))</f>
        <v>10 telefone</v>
      </c>
      <c r="E11" s="48" t="str">
        <f>IF(ISBLANK('LISTA GESTANTE DO GOOGLE FORMS'!$F11),"",('LISTA GESTANTE DO GOOGLE FORMS'!$F11))</f>
        <v>10 gest</v>
      </c>
      <c r="F11" s="51" t="str">
        <f>IF(ISBLANK('LISTA GESTANTE DO GOOGLE FORMS'!$G11),"",('LISTA GESTANTE DO GOOGLE FORMS'!$G11))</f>
        <v>10 parto</v>
      </c>
      <c r="G11" s="48" t="str">
        <f>IF(ISBLANK('LISTA GESTANTE DO GOOGLE FORMS'!$H11),"",('LISTA GESTANTE DO GOOGLE FORMS'!$H11))</f>
        <v>10 sexo</v>
      </c>
      <c r="H11" s="48" t="str">
        <f>IF(ISBLANK('LISTA GESTANTE DO GOOGLE FORMS'!$I11),"",('LISTA GESTANTE DO GOOGLE FORMS'!$I11))</f>
        <v>10 cpf</v>
      </c>
      <c r="I11" s="48" t="str">
        <f>IF(ISBLANK('LISTA GESTANTE DO GOOGLE FORMS'!$J11),"",('LISTA GESTANTE DO GOOGLE FORMS'!$J11))</f>
        <v>10 identidade</v>
      </c>
      <c r="J11" s="51" t="str">
        <f>IF(ISBLANK('LISTA GESTANTE DO GOOGLE FORMS'!$K11),"",('LISTA GESTANTE DO GOOGLE FORMS'!$K11))</f>
        <v>10 D Nascim</v>
      </c>
      <c r="K11" s="48" t="str">
        <f>IF(ISBLANK('LISTA GESTANTE DO GOOGLE FORMS'!$L11),"",('LISTA GESTANTE DO GOOGLE FORMS'!$L11))</f>
        <v>10 idad</v>
      </c>
      <c r="L11" s="48" t="str">
        <f>IF(ISBLANK('LISTA GESTANTE DO GOOGLE FORMS'!$M11),"",('LISTA GESTANTE DO GOOGLE FORMS'!$M11))</f>
        <v>10 trab</v>
      </c>
      <c r="M11" s="48" t="str">
        <f>IF(ISBLANK('LISTA GESTANTE DO GOOGLE FORMS'!$N11),"",('LISTA GESTANTE DO GOOGLE FORMS'!$N11))</f>
        <v>10 Est Civil</v>
      </c>
      <c r="N11" s="48" t="str">
        <f>IF(ISBLANK('LISTA GESTANTE DO GOOGLE FORMS'!$O11),"",('LISTA GESTANTE DO GOOGLE FORMS'!$O11))</f>
        <v>10 Religiao</v>
      </c>
      <c r="O11" s="48" t="str">
        <f>IF(ISBLANK('LISTA GESTANTE DO GOOGLE FORMS'!$P11),"",('LISTA GESTANTE DO GOOGLE FORMS'!$P11))</f>
        <v>10 Observações</v>
      </c>
      <c r="P11" s="49" t="str">
        <f>IF(ISBLANK('LISTA GESTANTE DO GOOGLE FORMS'!$Q11),"",('LISTA GESTANTE DO GOOGLE FORMS'!$Q11))</f>
        <v>10 Endereço</v>
      </c>
      <c r="Q11" s="49" t="str">
        <f>IF(ISBLANK('LISTA GESTANTE DO GOOGLE FORMS'!$R11),"",('LISTA GESTANTE DO GOOGLE FORMS'!$R11))</f>
        <v>10 Bairro</v>
      </c>
      <c r="R11" s="49" t="str">
        <f>IF(ISBLANK('LISTA GESTANTE DO GOOGLE FORMS'!$S11),"",('LISTA GESTANTE DO GOOGLE FORMS'!$S11))</f>
        <v>10 cidade</v>
      </c>
      <c r="S11" s="49" t="str">
        <f>IF(ISBLANK('LISTA GESTANTE DO GOOGLE FORMS'!$T11),"",('LISTA GESTANTE DO GOOGLE FORMS'!$T11))</f>
        <v>10 nome do pai</v>
      </c>
      <c r="T11" s="48" t="str">
        <f>IF(ISBLANK('LISTA GESTANTE DO GOOGLE FORMS'!$U11),"",('LISTA GESTANTE DO GOOGLE FORMS'!$U11))</f>
        <v>10 NP</v>
      </c>
      <c r="U11" s="48" t="str">
        <f>IF(ISBLANK('LISTA GESTANTE DO GOOGLE FORMS'!$V11),"",('LISTA GESTANTE DO GOOGLE FORMS'!$V11))</f>
        <v>10 Atendim</v>
      </c>
      <c r="V11" s="48" t="str">
        <f>IF(ISBLANK('LISTA GESTANTE DO GOOGLE FORMS'!$W11),"",('LISTA GESTANTE DO GOOGLE FORMS'!$W11))</f>
        <v>10 Beneficio</v>
      </c>
      <c r="W11" s="108" t="str">
        <f>IF(ISBLANK('LISTA GESTANTE DO GOOGLE FORMS'!$X11),"",('LISTA GESTANTE DO GOOGLE FORMS'!$X11))</f>
        <v>10 email</v>
      </c>
      <c r="X11" s="49" t="str">
        <f>IF(ISBLANK('LISTA GESTANTE DO GOOGLE FORMS'!$Y11),"",('LISTA GESTANTE DO GOOGLE FORMS'!$Y11))</f>
        <v>10 joao</v>
      </c>
    </row>
    <row r="12" spans="1:24" ht="23.25" customHeight="1" thickBot="1" x14ac:dyDescent="0.3">
      <c r="A12" s="39">
        <f>A11+1</f>
        <v>11</v>
      </c>
      <c r="B12" s="92">
        <f>IF(ISBLANK('LISTA GESTANTE DO GOOGLE FORMS'!$C12),"",('LISTA GESTANTE DO GOOGLE FORMS'!$C12))</f>
        <v>11</v>
      </c>
      <c r="C12" s="49" t="str">
        <f>IF(ISBLANK('LISTA GESTANTE DO GOOGLE FORMS'!$D12),"",('LISTA GESTANTE DO GOOGLE FORMS'!$D12))</f>
        <v>11 nome da gestante</v>
      </c>
      <c r="D12" s="48" t="str">
        <f>IF(ISBLANK('LISTA GESTANTE DO GOOGLE FORMS'!$E12),"",('LISTA GESTANTE DO GOOGLE FORMS'!$E12))</f>
        <v>11 telefone</v>
      </c>
      <c r="E12" s="48" t="str">
        <f>IF(ISBLANK('LISTA GESTANTE DO GOOGLE FORMS'!$F12),"",('LISTA GESTANTE DO GOOGLE FORMS'!$F12))</f>
        <v>11 gest</v>
      </c>
      <c r="F12" s="51" t="str">
        <f>IF(ISBLANK('LISTA GESTANTE DO GOOGLE FORMS'!$G12),"",('LISTA GESTANTE DO GOOGLE FORMS'!$G12))</f>
        <v>11 parto</v>
      </c>
      <c r="G12" s="48" t="str">
        <f>IF(ISBLANK('LISTA GESTANTE DO GOOGLE FORMS'!$H12),"",('LISTA GESTANTE DO GOOGLE FORMS'!$H12))</f>
        <v>11 sexo</v>
      </c>
      <c r="H12" s="48" t="str">
        <f>IF(ISBLANK('LISTA GESTANTE DO GOOGLE FORMS'!$I12),"",('LISTA GESTANTE DO GOOGLE FORMS'!$I12))</f>
        <v>11 cpf</v>
      </c>
      <c r="I12" s="48" t="str">
        <f>IF(ISBLANK('LISTA GESTANTE DO GOOGLE FORMS'!$J12),"",('LISTA GESTANTE DO GOOGLE FORMS'!$J12))</f>
        <v>11 identidade</v>
      </c>
      <c r="J12" s="51" t="str">
        <f>IF(ISBLANK('LISTA GESTANTE DO GOOGLE FORMS'!$K12),"",('LISTA GESTANTE DO GOOGLE FORMS'!$K12))</f>
        <v>11 D Nascim</v>
      </c>
      <c r="K12" s="48" t="str">
        <f>IF(ISBLANK('LISTA GESTANTE DO GOOGLE FORMS'!$L12),"",('LISTA GESTANTE DO GOOGLE FORMS'!$L12))</f>
        <v>11 idad</v>
      </c>
      <c r="L12" s="48" t="str">
        <f>IF(ISBLANK('LISTA GESTANTE DO GOOGLE FORMS'!$M12),"",('LISTA GESTANTE DO GOOGLE FORMS'!$M12))</f>
        <v>11 trab</v>
      </c>
      <c r="M12" s="48" t="str">
        <f>IF(ISBLANK('LISTA GESTANTE DO GOOGLE FORMS'!$N12),"",('LISTA GESTANTE DO GOOGLE FORMS'!$N12))</f>
        <v>11 Est Civil</v>
      </c>
      <c r="N12" s="48" t="str">
        <f>IF(ISBLANK('LISTA GESTANTE DO GOOGLE FORMS'!$O12),"",('LISTA GESTANTE DO GOOGLE FORMS'!$O12))</f>
        <v>11 Religiao</v>
      </c>
      <c r="O12" s="48" t="str">
        <f>IF(ISBLANK('LISTA GESTANTE DO GOOGLE FORMS'!$P12),"",('LISTA GESTANTE DO GOOGLE FORMS'!$P12))</f>
        <v>11 Observações</v>
      </c>
      <c r="P12" s="49" t="str">
        <f>IF(ISBLANK('LISTA GESTANTE DO GOOGLE FORMS'!$Q12),"",('LISTA GESTANTE DO GOOGLE FORMS'!$Q12))</f>
        <v>11 Endereço</v>
      </c>
      <c r="Q12" s="49" t="str">
        <f>IF(ISBLANK('LISTA GESTANTE DO GOOGLE FORMS'!$R12),"",('LISTA GESTANTE DO GOOGLE FORMS'!$R12))</f>
        <v>11 Bairro</v>
      </c>
      <c r="R12" s="49" t="str">
        <f>IF(ISBLANK('LISTA GESTANTE DO GOOGLE FORMS'!$S12),"",('LISTA GESTANTE DO GOOGLE FORMS'!$S12))</f>
        <v>11 cidade</v>
      </c>
      <c r="S12" s="49" t="str">
        <f>IF(ISBLANK('LISTA GESTANTE DO GOOGLE FORMS'!$T12),"",('LISTA GESTANTE DO GOOGLE FORMS'!$T12))</f>
        <v>11 nome do pai</v>
      </c>
      <c r="T12" s="48" t="str">
        <f>IF(ISBLANK('LISTA GESTANTE DO GOOGLE FORMS'!$U12),"",('LISTA GESTANTE DO GOOGLE FORMS'!$U12))</f>
        <v>11 NP</v>
      </c>
      <c r="U12" s="48" t="str">
        <f>IF(ISBLANK('LISTA GESTANTE DO GOOGLE FORMS'!$V12),"",('LISTA GESTANTE DO GOOGLE FORMS'!$V12))</f>
        <v>11 Atendim</v>
      </c>
      <c r="V12" s="48" t="str">
        <f>IF(ISBLANK('LISTA GESTANTE DO GOOGLE FORMS'!$W12),"",('LISTA GESTANTE DO GOOGLE FORMS'!$W12))</f>
        <v>11 Beneficio</v>
      </c>
      <c r="W12" s="108" t="str">
        <f>IF(ISBLANK('LISTA GESTANTE DO GOOGLE FORMS'!$X12),"",('LISTA GESTANTE DO GOOGLE FORMS'!$X12))</f>
        <v>11 email</v>
      </c>
      <c r="X12" s="49" t="str">
        <f>IF(ISBLANK('LISTA GESTANTE DO GOOGLE FORMS'!$Y12),"",('LISTA GESTANTE DO GOOGLE FORMS'!$Y12))</f>
        <v>11 joao</v>
      </c>
    </row>
    <row r="13" spans="1:24" ht="17.100000000000001" customHeight="1" thickBot="1" x14ac:dyDescent="0.3">
      <c r="A13" s="39">
        <f t="shared" si="0"/>
        <v>12</v>
      </c>
      <c r="B13" s="92">
        <f>IF(ISBLANK('LISTA GESTANTE DO GOOGLE FORMS'!$C13),"",('LISTA GESTANTE DO GOOGLE FORMS'!$C13))</f>
        <v>12</v>
      </c>
      <c r="C13" s="49" t="str">
        <f>IF(ISBLANK('LISTA GESTANTE DO GOOGLE FORMS'!$D13),"",('LISTA GESTANTE DO GOOGLE FORMS'!$D13))</f>
        <v>12 nome da gestante</v>
      </c>
      <c r="D13" s="48" t="str">
        <f>IF(ISBLANK('LISTA GESTANTE DO GOOGLE FORMS'!$E13),"",('LISTA GESTANTE DO GOOGLE FORMS'!$E13))</f>
        <v>12 telefone</v>
      </c>
      <c r="E13" s="48" t="str">
        <f>IF(ISBLANK('LISTA GESTANTE DO GOOGLE FORMS'!$F13),"",('LISTA GESTANTE DO GOOGLE FORMS'!$F13))</f>
        <v>12 gest</v>
      </c>
      <c r="F13" s="51" t="str">
        <f>IF(ISBLANK('LISTA GESTANTE DO GOOGLE FORMS'!$G13),"",('LISTA GESTANTE DO GOOGLE FORMS'!$G13))</f>
        <v>12 parto</v>
      </c>
      <c r="G13" s="48" t="str">
        <f>IF(ISBLANK('LISTA GESTANTE DO GOOGLE FORMS'!$H13),"",('LISTA GESTANTE DO GOOGLE FORMS'!$H13))</f>
        <v>12 sexo</v>
      </c>
      <c r="H13" s="48" t="str">
        <f>IF(ISBLANK('LISTA GESTANTE DO GOOGLE FORMS'!$I13),"",('LISTA GESTANTE DO GOOGLE FORMS'!$I13))</f>
        <v>12 cpf</v>
      </c>
      <c r="I13" s="48" t="str">
        <f>IF(ISBLANK('LISTA GESTANTE DO GOOGLE FORMS'!$J13),"",('LISTA GESTANTE DO GOOGLE FORMS'!$J13))</f>
        <v>12 identidade</v>
      </c>
      <c r="J13" s="51" t="str">
        <f>IF(ISBLANK('LISTA GESTANTE DO GOOGLE FORMS'!$K13),"",('LISTA GESTANTE DO GOOGLE FORMS'!$K13))</f>
        <v>12 D Nascim</v>
      </c>
      <c r="K13" s="48" t="str">
        <f>IF(ISBLANK('LISTA GESTANTE DO GOOGLE FORMS'!$L13),"",('LISTA GESTANTE DO GOOGLE FORMS'!$L13))</f>
        <v>12 idad</v>
      </c>
      <c r="L13" s="48" t="str">
        <f>IF(ISBLANK('LISTA GESTANTE DO GOOGLE FORMS'!$M13),"",('LISTA GESTANTE DO GOOGLE FORMS'!$M13))</f>
        <v>12 trab</v>
      </c>
      <c r="M13" s="48" t="str">
        <f>IF(ISBLANK('LISTA GESTANTE DO GOOGLE FORMS'!$N13),"",('LISTA GESTANTE DO GOOGLE FORMS'!$N13))</f>
        <v>12 Est Civil</v>
      </c>
      <c r="N13" s="48" t="str">
        <f>IF(ISBLANK('LISTA GESTANTE DO GOOGLE FORMS'!$O13),"",('LISTA GESTANTE DO GOOGLE FORMS'!$O13))</f>
        <v>12 Religiao</v>
      </c>
      <c r="O13" s="48" t="str">
        <f>IF(ISBLANK('LISTA GESTANTE DO GOOGLE FORMS'!$P13),"",('LISTA GESTANTE DO GOOGLE FORMS'!$P13))</f>
        <v>12 Observações</v>
      </c>
      <c r="P13" s="49" t="str">
        <f>IF(ISBLANK('LISTA GESTANTE DO GOOGLE FORMS'!$Q13),"",('LISTA GESTANTE DO GOOGLE FORMS'!$Q13))</f>
        <v>12 Endereço</v>
      </c>
      <c r="Q13" s="49" t="str">
        <f>IF(ISBLANK('LISTA GESTANTE DO GOOGLE FORMS'!$R13),"",('LISTA GESTANTE DO GOOGLE FORMS'!$R13))</f>
        <v>12 Bairro</v>
      </c>
      <c r="R13" s="49" t="str">
        <f>IF(ISBLANK('LISTA GESTANTE DO GOOGLE FORMS'!$S13),"",('LISTA GESTANTE DO GOOGLE FORMS'!$S13))</f>
        <v>12 cidade</v>
      </c>
      <c r="S13" s="49" t="str">
        <f>IF(ISBLANK('LISTA GESTANTE DO GOOGLE FORMS'!$T13),"",('LISTA GESTANTE DO GOOGLE FORMS'!$T13))</f>
        <v>12 nome do pai</v>
      </c>
      <c r="T13" s="48" t="str">
        <f>IF(ISBLANK('LISTA GESTANTE DO GOOGLE FORMS'!$U13),"",('LISTA GESTANTE DO GOOGLE FORMS'!$U13))</f>
        <v>12 NP</v>
      </c>
      <c r="U13" s="48" t="str">
        <f>IF(ISBLANK('LISTA GESTANTE DO GOOGLE FORMS'!$V13),"",('LISTA GESTANTE DO GOOGLE FORMS'!$V13))</f>
        <v>12 Atendim</v>
      </c>
      <c r="V13" s="48" t="str">
        <f>IF(ISBLANK('LISTA GESTANTE DO GOOGLE FORMS'!$W13),"",('LISTA GESTANTE DO GOOGLE FORMS'!$W13))</f>
        <v>12 Beneficio</v>
      </c>
      <c r="W13" s="108" t="str">
        <f>IF(ISBLANK('LISTA GESTANTE DO GOOGLE FORMS'!$X13),"",('LISTA GESTANTE DO GOOGLE FORMS'!$X13))</f>
        <v>12 email</v>
      </c>
      <c r="X13" s="49" t="str">
        <f>IF(ISBLANK('LISTA GESTANTE DO GOOGLE FORMS'!$Y13),"",('LISTA GESTANTE DO GOOGLE FORMS'!$Y13))</f>
        <v>12 joao</v>
      </c>
    </row>
    <row r="14" spans="1:24" ht="17.100000000000001" customHeight="1" thickBot="1" x14ac:dyDescent="0.3">
      <c r="A14" s="39">
        <f t="shared" si="0"/>
        <v>13</v>
      </c>
      <c r="B14" s="92">
        <f>IF(ISBLANK('LISTA GESTANTE DO GOOGLE FORMS'!$C14),"",('LISTA GESTANTE DO GOOGLE FORMS'!$C14))</f>
        <v>13</v>
      </c>
      <c r="C14" s="49" t="str">
        <f>IF(ISBLANK('LISTA GESTANTE DO GOOGLE FORMS'!$D14),"",('LISTA GESTANTE DO GOOGLE FORMS'!$D14))</f>
        <v>13 nome da gestante</v>
      </c>
      <c r="D14" s="48" t="str">
        <f>IF(ISBLANK('LISTA GESTANTE DO GOOGLE FORMS'!$E14),"",('LISTA GESTANTE DO GOOGLE FORMS'!$E14))</f>
        <v>13 telefone</v>
      </c>
      <c r="E14" s="48" t="str">
        <f>IF(ISBLANK('LISTA GESTANTE DO GOOGLE FORMS'!$F14),"",('LISTA GESTANTE DO GOOGLE FORMS'!$F14))</f>
        <v>13 gest</v>
      </c>
      <c r="F14" s="51" t="str">
        <f>IF(ISBLANK('LISTA GESTANTE DO GOOGLE FORMS'!$G14),"",('LISTA GESTANTE DO GOOGLE FORMS'!$G14))</f>
        <v>13 parto</v>
      </c>
      <c r="G14" s="48" t="str">
        <f>IF(ISBLANK('LISTA GESTANTE DO GOOGLE FORMS'!$H14),"",('LISTA GESTANTE DO GOOGLE FORMS'!$H14))</f>
        <v>13 sexo</v>
      </c>
      <c r="H14" s="48" t="str">
        <f>IF(ISBLANK('LISTA GESTANTE DO GOOGLE FORMS'!$I14),"",('LISTA GESTANTE DO GOOGLE FORMS'!$I14))</f>
        <v>13 cpf</v>
      </c>
      <c r="I14" s="48" t="str">
        <f>IF(ISBLANK('LISTA GESTANTE DO GOOGLE FORMS'!$J14),"",('LISTA GESTANTE DO GOOGLE FORMS'!$J14))</f>
        <v>13 identidade</v>
      </c>
      <c r="J14" s="51" t="str">
        <f>IF(ISBLANK('LISTA GESTANTE DO GOOGLE FORMS'!$K14),"",('LISTA GESTANTE DO GOOGLE FORMS'!$K14))</f>
        <v>13 D Nascim</v>
      </c>
      <c r="K14" s="48" t="str">
        <f>IF(ISBLANK('LISTA GESTANTE DO GOOGLE FORMS'!$L14),"",('LISTA GESTANTE DO GOOGLE FORMS'!$L14))</f>
        <v>13 idad</v>
      </c>
      <c r="L14" s="48" t="str">
        <f>IF(ISBLANK('LISTA GESTANTE DO GOOGLE FORMS'!$M14),"",('LISTA GESTANTE DO GOOGLE FORMS'!$M14))</f>
        <v>13 trab</v>
      </c>
      <c r="M14" s="48" t="str">
        <f>IF(ISBLANK('LISTA GESTANTE DO GOOGLE FORMS'!$N14),"",('LISTA GESTANTE DO GOOGLE FORMS'!$N14))</f>
        <v>13 Est Civil</v>
      </c>
      <c r="N14" s="48" t="str">
        <f>IF(ISBLANK('LISTA GESTANTE DO GOOGLE FORMS'!$O14),"",('LISTA GESTANTE DO GOOGLE FORMS'!$O14))</f>
        <v>13 Religiao</v>
      </c>
      <c r="O14" s="48" t="str">
        <f>IF(ISBLANK('LISTA GESTANTE DO GOOGLE FORMS'!$P14),"",('LISTA GESTANTE DO GOOGLE FORMS'!$P14))</f>
        <v>13 Observações</v>
      </c>
      <c r="P14" s="49" t="str">
        <f>IF(ISBLANK('LISTA GESTANTE DO GOOGLE FORMS'!$Q14),"",('LISTA GESTANTE DO GOOGLE FORMS'!$Q14))</f>
        <v>13 Endereço</v>
      </c>
      <c r="Q14" s="49" t="str">
        <f>IF(ISBLANK('LISTA GESTANTE DO GOOGLE FORMS'!$R14),"",('LISTA GESTANTE DO GOOGLE FORMS'!$R14))</f>
        <v>13 Bairro</v>
      </c>
      <c r="R14" s="49" t="str">
        <f>IF(ISBLANK('LISTA GESTANTE DO GOOGLE FORMS'!$S14),"",('LISTA GESTANTE DO GOOGLE FORMS'!$S14))</f>
        <v>13 cidade</v>
      </c>
      <c r="S14" s="49" t="str">
        <f>IF(ISBLANK('LISTA GESTANTE DO GOOGLE FORMS'!$T14),"",('LISTA GESTANTE DO GOOGLE FORMS'!$T14))</f>
        <v>13 nome do pai</v>
      </c>
      <c r="T14" s="48" t="str">
        <f>IF(ISBLANK('LISTA GESTANTE DO GOOGLE FORMS'!$U14),"",('LISTA GESTANTE DO GOOGLE FORMS'!$U14))</f>
        <v>13 NP</v>
      </c>
      <c r="U14" s="48" t="str">
        <f>IF(ISBLANK('LISTA GESTANTE DO GOOGLE FORMS'!$V14),"",('LISTA GESTANTE DO GOOGLE FORMS'!$V14))</f>
        <v>13 Atendim</v>
      </c>
      <c r="V14" s="48" t="str">
        <f>IF(ISBLANK('LISTA GESTANTE DO GOOGLE FORMS'!$W14),"",('LISTA GESTANTE DO GOOGLE FORMS'!$W14))</f>
        <v>13 Beneficio</v>
      </c>
      <c r="W14" s="108" t="str">
        <f>IF(ISBLANK('LISTA GESTANTE DO GOOGLE FORMS'!$X14),"",('LISTA GESTANTE DO GOOGLE FORMS'!$X14))</f>
        <v>13 email</v>
      </c>
      <c r="X14" s="49" t="str">
        <f>IF(ISBLANK('LISTA GESTANTE DO GOOGLE FORMS'!$Y14),"",('LISTA GESTANTE DO GOOGLE FORMS'!$Y14))</f>
        <v>13 joao</v>
      </c>
    </row>
    <row r="15" spans="1:24" ht="17.100000000000001" customHeight="1" thickBot="1" x14ac:dyDescent="0.3">
      <c r="A15" s="39">
        <f t="shared" si="0"/>
        <v>14</v>
      </c>
      <c r="B15" s="92">
        <f>IF(ISBLANK('LISTA GESTANTE DO GOOGLE FORMS'!$C15),"",('LISTA GESTANTE DO GOOGLE FORMS'!$C15))</f>
        <v>14</v>
      </c>
      <c r="C15" s="49" t="str">
        <f>IF(ISBLANK('LISTA GESTANTE DO GOOGLE FORMS'!$D15),"",('LISTA GESTANTE DO GOOGLE FORMS'!$D15))</f>
        <v>14 nome da gestante</v>
      </c>
      <c r="D15" s="48" t="str">
        <f>IF(ISBLANK('LISTA GESTANTE DO GOOGLE FORMS'!$E15),"",('LISTA GESTANTE DO GOOGLE FORMS'!$E15))</f>
        <v>14 telefone</v>
      </c>
      <c r="E15" s="48" t="str">
        <f>IF(ISBLANK('LISTA GESTANTE DO GOOGLE FORMS'!$F15),"",('LISTA GESTANTE DO GOOGLE FORMS'!$F15))</f>
        <v>14 gest</v>
      </c>
      <c r="F15" s="51" t="str">
        <f>IF(ISBLANK('LISTA GESTANTE DO GOOGLE FORMS'!$G15),"",('LISTA GESTANTE DO GOOGLE FORMS'!$G15))</f>
        <v>14 parto</v>
      </c>
      <c r="G15" s="48" t="str">
        <f>IF(ISBLANK('LISTA GESTANTE DO GOOGLE FORMS'!$H15),"",('LISTA GESTANTE DO GOOGLE FORMS'!$H15))</f>
        <v>14 sexo</v>
      </c>
      <c r="H15" s="48" t="str">
        <f>IF(ISBLANK('LISTA GESTANTE DO GOOGLE FORMS'!$I15),"",('LISTA GESTANTE DO GOOGLE FORMS'!$I15))</f>
        <v>14 cpf</v>
      </c>
      <c r="I15" s="48" t="str">
        <f>IF(ISBLANK('LISTA GESTANTE DO GOOGLE FORMS'!$J15),"",('LISTA GESTANTE DO GOOGLE FORMS'!$J15))</f>
        <v>14 identidade</v>
      </c>
      <c r="J15" s="51" t="str">
        <f>IF(ISBLANK('LISTA GESTANTE DO GOOGLE FORMS'!$K15),"",('LISTA GESTANTE DO GOOGLE FORMS'!$K15))</f>
        <v>14 D Nascim</v>
      </c>
      <c r="K15" s="48" t="str">
        <f>IF(ISBLANK('LISTA GESTANTE DO GOOGLE FORMS'!$L15),"",('LISTA GESTANTE DO GOOGLE FORMS'!$L15))</f>
        <v>14 idad</v>
      </c>
      <c r="L15" s="48" t="str">
        <f>IF(ISBLANK('LISTA GESTANTE DO GOOGLE FORMS'!$M15),"",('LISTA GESTANTE DO GOOGLE FORMS'!$M15))</f>
        <v>14 trab</v>
      </c>
      <c r="M15" s="48" t="str">
        <f>IF(ISBLANK('LISTA GESTANTE DO GOOGLE FORMS'!$N15),"",('LISTA GESTANTE DO GOOGLE FORMS'!$N15))</f>
        <v>14 Est Civil</v>
      </c>
      <c r="N15" s="48" t="str">
        <f>IF(ISBLANK('LISTA GESTANTE DO GOOGLE FORMS'!$O15),"",('LISTA GESTANTE DO GOOGLE FORMS'!$O15))</f>
        <v>14 Religiao</v>
      </c>
      <c r="O15" s="48" t="str">
        <f>IF(ISBLANK('LISTA GESTANTE DO GOOGLE FORMS'!$P15),"",('LISTA GESTANTE DO GOOGLE FORMS'!$P15))</f>
        <v>14 Observações</v>
      </c>
      <c r="P15" s="49" t="str">
        <f>IF(ISBLANK('LISTA GESTANTE DO GOOGLE FORMS'!$Q15),"",('LISTA GESTANTE DO GOOGLE FORMS'!$Q15))</f>
        <v>14 Endereço</v>
      </c>
      <c r="Q15" s="49" t="str">
        <f>IF(ISBLANK('LISTA GESTANTE DO GOOGLE FORMS'!$R15),"",('LISTA GESTANTE DO GOOGLE FORMS'!$R15))</f>
        <v>14 Bairro</v>
      </c>
      <c r="R15" s="49" t="str">
        <f>IF(ISBLANK('LISTA GESTANTE DO GOOGLE FORMS'!$S15),"",('LISTA GESTANTE DO GOOGLE FORMS'!$S15))</f>
        <v>14 cidade</v>
      </c>
      <c r="S15" s="49" t="str">
        <f>IF(ISBLANK('LISTA GESTANTE DO GOOGLE FORMS'!$T15),"",('LISTA GESTANTE DO GOOGLE FORMS'!$T15))</f>
        <v>14 nome do pai</v>
      </c>
      <c r="T15" s="48" t="str">
        <f>IF(ISBLANK('LISTA GESTANTE DO GOOGLE FORMS'!$U15),"",('LISTA GESTANTE DO GOOGLE FORMS'!$U15))</f>
        <v>14 NP</v>
      </c>
      <c r="U15" s="48" t="str">
        <f>IF(ISBLANK('LISTA GESTANTE DO GOOGLE FORMS'!$V15),"",('LISTA GESTANTE DO GOOGLE FORMS'!$V15))</f>
        <v>14 Atendim</v>
      </c>
      <c r="V15" s="48" t="str">
        <f>IF(ISBLANK('LISTA GESTANTE DO GOOGLE FORMS'!$W15),"",('LISTA GESTANTE DO GOOGLE FORMS'!$W15))</f>
        <v>14 Beneficio</v>
      </c>
      <c r="W15" s="108" t="str">
        <f>IF(ISBLANK('LISTA GESTANTE DO GOOGLE FORMS'!$X15),"",('LISTA GESTANTE DO GOOGLE FORMS'!$X15))</f>
        <v>14 email</v>
      </c>
      <c r="X15" s="49" t="str">
        <f>IF(ISBLANK('LISTA GESTANTE DO GOOGLE FORMS'!$Y15),"",('LISTA GESTANTE DO GOOGLE FORMS'!$Y15))</f>
        <v>14 joao</v>
      </c>
    </row>
    <row r="16" spans="1:24" ht="17.100000000000001" customHeight="1" thickBot="1" x14ac:dyDescent="0.3">
      <c r="A16" s="39">
        <f t="shared" si="0"/>
        <v>15</v>
      </c>
      <c r="B16" s="92">
        <f>IF(ISBLANK('LISTA GESTANTE DO GOOGLE FORMS'!$C16),"",('LISTA GESTANTE DO GOOGLE FORMS'!$C16))</f>
        <v>15</v>
      </c>
      <c r="C16" s="49" t="str">
        <f>IF(ISBLANK('LISTA GESTANTE DO GOOGLE FORMS'!$D16),"",('LISTA GESTANTE DO GOOGLE FORMS'!$D16))</f>
        <v>15 nome da gestante</v>
      </c>
      <c r="D16" s="48" t="str">
        <f>IF(ISBLANK('LISTA GESTANTE DO GOOGLE FORMS'!$E16),"",('LISTA GESTANTE DO GOOGLE FORMS'!$E16))</f>
        <v>15 telefone</v>
      </c>
      <c r="E16" s="48" t="str">
        <f>IF(ISBLANK('LISTA GESTANTE DO GOOGLE FORMS'!$F16),"",('LISTA GESTANTE DO GOOGLE FORMS'!$F16))</f>
        <v>15 gest</v>
      </c>
      <c r="F16" s="51" t="str">
        <f>IF(ISBLANK('LISTA GESTANTE DO GOOGLE FORMS'!$G16),"",('LISTA GESTANTE DO GOOGLE FORMS'!$G16))</f>
        <v>15 parto</v>
      </c>
      <c r="G16" s="48" t="str">
        <f>IF(ISBLANK('LISTA GESTANTE DO GOOGLE FORMS'!$H16),"",('LISTA GESTANTE DO GOOGLE FORMS'!$H16))</f>
        <v>15 sexo</v>
      </c>
      <c r="H16" s="48" t="str">
        <f>IF(ISBLANK('LISTA GESTANTE DO GOOGLE FORMS'!$I16),"",('LISTA GESTANTE DO GOOGLE FORMS'!$I16))</f>
        <v>15 cpf</v>
      </c>
      <c r="I16" s="48" t="str">
        <f>IF(ISBLANK('LISTA GESTANTE DO GOOGLE FORMS'!$J16),"",('LISTA GESTANTE DO GOOGLE FORMS'!$J16))</f>
        <v>15 identidade</v>
      </c>
      <c r="J16" s="51" t="str">
        <f>IF(ISBLANK('LISTA GESTANTE DO GOOGLE FORMS'!$K16),"",('LISTA GESTANTE DO GOOGLE FORMS'!$K16))</f>
        <v>15 D Nascim</v>
      </c>
      <c r="K16" s="48" t="str">
        <f>IF(ISBLANK('LISTA GESTANTE DO GOOGLE FORMS'!$L16),"",('LISTA GESTANTE DO GOOGLE FORMS'!$L16))</f>
        <v>15 idad</v>
      </c>
      <c r="L16" s="48" t="str">
        <f>IF(ISBLANK('LISTA GESTANTE DO GOOGLE FORMS'!$M16),"",('LISTA GESTANTE DO GOOGLE FORMS'!$M16))</f>
        <v>15 trab</v>
      </c>
      <c r="M16" s="48" t="str">
        <f>IF(ISBLANK('LISTA GESTANTE DO GOOGLE FORMS'!$N16),"",('LISTA GESTANTE DO GOOGLE FORMS'!$N16))</f>
        <v>15 Est Civil</v>
      </c>
      <c r="N16" s="48" t="str">
        <f>IF(ISBLANK('LISTA GESTANTE DO GOOGLE FORMS'!$O16),"",('LISTA GESTANTE DO GOOGLE FORMS'!$O16))</f>
        <v>15 Religiao</v>
      </c>
      <c r="O16" s="48" t="str">
        <f>IF(ISBLANK('LISTA GESTANTE DO GOOGLE FORMS'!$P16),"",('LISTA GESTANTE DO GOOGLE FORMS'!$P16))</f>
        <v>15 Observações</v>
      </c>
      <c r="P16" s="49" t="str">
        <f>IF(ISBLANK('LISTA GESTANTE DO GOOGLE FORMS'!$Q16),"",('LISTA GESTANTE DO GOOGLE FORMS'!$Q16))</f>
        <v>15 Endereço</v>
      </c>
      <c r="Q16" s="49" t="str">
        <f>IF(ISBLANK('LISTA GESTANTE DO GOOGLE FORMS'!$R16),"",('LISTA GESTANTE DO GOOGLE FORMS'!$R16))</f>
        <v>15 Bairro</v>
      </c>
      <c r="R16" s="49" t="str">
        <f>IF(ISBLANK('LISTA GESTANTE DO GOOGLE FORMS'!$S16),"",('LISTA GESTANTE DO GOOGLE FORMS'!$S16))</f>
        <v>15 cidade</v>
      </c>
      <c r="S16" s="49" t="str">
        <f>IF(ISBLANK('LISTA GESTANTE DO GOOGLE FORMS'!$T16),"",('LISTA GESTANTE DO GOOGLE FORMS'!$T16))</f>
        <v>15 nome do pai</v>
      </c>
      <c r="T16" s="48" t="str">
        <f>IF(ISBLANK('LISTA GESTANTE DO GOOGLE FORMS'!$U16),"",('LISTA GESTANTE DO GOOGLE FORMS'!$U16))</f>
        <v>15 NP</v>
      </c>
      <c r="U16" s="48" t="str">
        <f>IF(ISBLANK('LISTA GESTANTE DO GOOGLE FORMS'!$V16),"",('LISTA GESTANTE DO GOOGLE FORMS'!$V16))</f>
        <v>15 Atendim</v>
      </c>
      <c r="V16" s="48" t="str">
        <f>IF(ISBLANK('LISTA GESTANTE DO GOOGLE FORMS'!$W16),"",('LISTA GESTANTE DO GOOGLE FORMS'!$W16))</f>
        <v>15 Beneficio</v>
      </c>
      <c r="W16" s="108" t="str">
        <f>IF(ISBLANK('LISTA GESTANTE DO GOOGLE FORMS'!$X16),"",('LISTA GESTANTE DO GOOGLE FORMS'!$X16))</f>
        <v>15 email</v>
      </c>
      <c r="X16" s="49" t="str">
        <f>IF(ISBLANK('LISTA GESTANTE DO GOOGLE FORMS'!$Y16),"",('LISTA GESTANTE DO GOOGLE FORMS'!$Y16))</f>
        <v>15 joao</v>
      </c>
    </row>
    <row r="17" spans="1:35" ht="17.100000000000001" customHeight="1" thickBot="1" x14ac:dyDescent="0.3">
      <c r="A17" s="94">
        <f t="shared" si="0"/>
        <v>16</v>
      </c>
      <c r="B17" s="92">
        <f>IF(ISBLANK('LISTA GESTANTE DO GOOGLE FORMS'!$C17),"",('LISTA GESTANTE DO GOOGLE FORMS'!$C17))</f>
        <v>16</v>
      </c>
      <c r="C17" s="49" t="str">
        <f>IF(ISBLANK('LISTA GESTANTE DO GOOGLE FORMS'!$D17),"",('LISTA GESTANTE DO GOOGLE FORMS'!$D17))</f>
        <v>16 nome da gestante</v>
      </c>
      <c r="D17" s="48" t="str">
        <f>IF(ISBLANK('LISTA GESTANTE DO GOOGLE FORMS'!$E17),"",('LISTA GESTANTE DO GOOGLE FORMS'!$E17))</f>
        <v>16 telefone</v>
      </c>
      <c r="E17" s="48" t="str">
        <f>IF(ISBLANK('LISTA GESTANTE DO GOOGLE FORMS'!$F17),"",('LISTA GESTANTE DO GOOGLE FORMS'!$F17))</f>
        <v>16 gest</v>
      </c>
      <c r="F17" s="51" t="str">
        <f>IF(ISBLANK('LISTA GESTANTE DO GOOGLE FORMS'!$G17),"",('LISTA GESTANTE DO GOOGLE FORMS'!$G17))</f>
        <v>16 parto</v>
      </c>
      <c r="G17" s="48" t="str">
        <f>IF(ISBLANK('LISTA GESTANTE DO GOOGLE FORMS'!$H17),"",('LISTA GESTANTE DO GOOGLE FORMS'!$H17))</f>
        <v>16 sexo</v>
      </c>
      <c r="H17" s="48" t="str">
        <f>IF(ISBLANK('LISTA GESTANTE DO GOOGLE FORMS'!$I17),"",('LISTA GESTANTE DO GOOGLE FORMS'!$I17))</f>
        <v>16 cpf</v>
      </c>
      <c r="I17" s="48" t="str">
        <f>IF(ISBLANK('LISTA GESTANTE DO GOOGLE FORMS'!$J17),"",('LISTA GESTANTE DO GOOGLE FORMS'!$J17))</f>
        <v>16 identidade</v>
      </c>
      <c r="J17" s="51" t="str">
        <f>IF(ISBLANK('LISTA GESTANTE DO GOOGLE FORMS'!$K17),"",('LISTA GESTANTE DO GOOGLE FORMS'!$K17))</f>
        <v>16 D Nascim</v>
      </c>
      <c r="K17" s="48" t="str">
        <f>IF(ISBLANK('LISTA GESTANTE DO GOOGLE FORMS'!$L17),"",('LISTA GESTANTE DO GOOGLE FORMS'!$L17))</f>
        <v>16 idad</v>
      </c>
      <c r="L17" s="48" t="str">
        <f>IF(ISBLANK('LISTA GESTANTE DO GOOGLE FORMS'!$M17),"",('LISTA GESTANTE DO GOOGLE FORMS'!$M17))</f>
        <v>16 trab</v>
      </c>
      <c r="M17" s="48" t="str">
        <f>IF(ISBLANK('LISTA GESTANTE DO GOOGLE FORMS'!$N17),"",('LISTA GESTANTE DO GOOGLE FORMS'!$N17))</f>
        <v>16 Est Civil</v>
      </c>
      <c r="N17" s="48" t="str">
        <f>IF(ISBLANK('LISTA GESTANTE DO GOOGLE FORMS'!$O17),"",('LISTA GESTANTE DO GOOGLE FORMS'!$O17))</f>
        <v>16 Religiao</v>
      </c>
      <c r="O17" s="48" t="str">
        <f>IF(ISBLANK('LISTA GESTANTE DO GOOGLE FORMS'!$P17),"",('LISTA GESTANTE DO GOOGLE FORMS'!$P17))</f>
        <v>16 Observações</v>
      </c>
      <c r="P17" s="49" t="str">
        <f>IF(ISBLANK('LISTA GESTANTE DO GOOGLE FORMS'!$Q17),"",('LISTA GESTANTE DO GOOGLE FORMS'!$Q17))</f>
        <v>16 Endereço</v>
      </c>
      <c r="Q17" s="49" t="str">
        <f>IF(ISBLANK('LISTA GESTANTE DO GOOGLE FORMS'!$R17),"",('LISTA GESTANTE DO GOOGLE FORMS'!$R17))</f>
        <v>16 Bairro</v>
      </c>
      <c r="R17" s="49" t="str">
        <f>IF(ISBLANK('LISTA GESTANTE DO GOOGLE FORMS'!$S17),"",('LISTA GESTANTE DO GOOGLE FORMS'!$S17))</f>
        <v>16 cidade</v>
      </c>
      <c r="S17" s="49" t="str">
        <f>IF(ISBLANK('LISTA GESTANTE DO GOOGLE FORMS'!$T17),"",('LISTA GESTANTE DO GOOGLE FORMS'!$T17))</f>
        <v>16 nome do pai</v>
      </c>
      <c r="T17" s="48" t="str">
        <f>IF(ISBLANK('LISTA GESTANTE DO GOOGLE FORMS'!$U17),"",('LISTA GESTANTE DO GOOGLE FORMS'!$U17))</f>
        <v>16 NP</v>
      </c>
      <c r="U17" s="48" t="str">
        <f>IF(ISBLANK('LISTA GESTANTE DO GOOGLE FORMS'!$V17),"",('LISTA GESTANTE DO GOOGLE FORMS'!$V17))</f>
        <v>16 Atendim</v>
      </c>
      <c r="V17" s="48" t="str">
        <f>IF(ISBLANK('LISTA GESTANTE DO GOOGLE FORMS'!$W17),"",('LISTA GESTANTE DO GOOGLE FORMS'!$W17))</f>
        <v>16 Beneficio</v>
      </c>
      <c r="W17" s="108" t="str">
        <f>IF(ISBLANK('LISTA GESTANTE DO GOOGLE FORMS'!$X17),"",('LISTA GESTANTE DO GOOGLE FORMS'!$X17))</f>
        <v>16 email</v>
      </c>
      <c r="X17" s="49" t="str">
        <f>IF(ISBLANK('LISTA GESTANTE DO GOOGLE FORMS'!$Y17),"",('LISTA GESTANTE DO GOOGLE FORMS'!$Y17))</f>
        <v>16 joao</v>
      </c>
    </row>
    <row r="18" spans="1:35" ht="17.100000000000001" customHeight="1" thickBot="1" x14ac:dyDescent="0.3">
      <c r="A18" s="39">
        <f t="shared" si="0"/>
        <v>17</v>
      </c>
      <c r="B18" s="92">
        <f>IF(ISBLANK('LISTA GESTANTE DO GOOGLE FORMS'!$C18),"",('LISTA GESTANTE DO GOOGLE FORMS'!$C18))</f>
        <v>17</v>
      </c>
      <c r="C18" s="49" t="str">
        <f>IF(ISBLANK('LISTA GESTANTE DO GOOGLE FORMS'!$D18),"",('LISTA GESTANTE DO GOOGLE FORMS'!$D18))</f>
        <v>17 nome da gestante</v>
      </c>
      <c r="D18" s="48" t="str">
        <f>IF(ISBLANK('LISTA GESTANTE DO GOOGLE FORMS'!$E18),"",('LISTA GESTANTE DO GOOGLE FORMS'!$E18))</f>
        <v>17 telefone</v>
      </c>
      <c r="E18" s="48" t="str">
        <f>IF(ISBLANK('LISTA GESTANTE DO GOOGLE FORMS'!$F18),"",('LISTA GESTANTE DO GOOGLE FORMS'!$F18))</f>
        <v>17 gest</v>
      </c>
      <c r="F18" s="51" t="str">
        <f>IF(ISBLANK('LISTA GESTANTE DO GOOGLE FORMS'!$G18),"",('LISTA GESTANTE DO GOOGLE FORMS'!$G18))</f>
        <v>17 parto</v>
      </c>
      <c r="G18" s="48" t="str">
        <f>IF(ISBLANK('LISTA GESTANTE DO GOOGLE FORMS'!$H18),"",('LISTA GESTANTE DO GOOGLE FORMS'!$H18))</f>
        <v>17 sexo</v>
      </c>
      <c r="H18" s="48" t="str">
        <f>IF(ISBLANK('LISTA GESTANTE DO GOOGLE FORMS'!$I18),"",('LISTA GESTANTE DO GOOGLE FORMS'!$I18))</f>
        <v>17 cpf</v>
      </c>
      <c r="I18" s="48" t="str">
        <f>IF(ISBLANK('LISTA GESTANTE DO GOOGLE FORMS'!$J18),"",('LISTA GESTANTE DO GOOGLE FORMS'!$J18))</f>
        <v>17 identidade</v>
      </c>
      <c r="J18" s="51" t="str">
        <f>IF(ISBLANK('LISTA GESTANTE DO GOOGLE FORMS'!$K18),"",('LISTA GESTANTE DO GOOGLE FORMS'!$K18))</f>
        <v>17 D Nascim</v>
      </c>
      <c r="K18" s="48" t="str">
        <f>IF(ISBLANK('LISTA GESTANTE DO GOOGLE FORMS'!$L18),"",('LISTA GESTANTE DO GOOGLE FORMS'!$L18))</f>
        <v>17 idad</v>
      </c>
      <c r="L18" s="48" t="str">
        <f>IF(ISBLANK('LISTA GESTANTE DO GOOGLE FORMS'!$M18),"",('LISTA GESTANTE DO GOOGLE FORMS'!$M18))</f>
        <v>17 trab</v>
      </c>
      <c r="M18" s="48" t="str">
        <f>IF(ISBLANK('LISTA GESTANTE DO GOOGLE FORMS'!$N18),"",('LISTA GESTANTE DO GOOGLE FORMS'!$N18))</f>
        <v>17 Est Civil</v>
      </c>
      <c r="N18" s="48" t="str">
        <f>IF(ISBLANK('LISTA GESTANTE DO GOOGLE FORMS'!$O18),"",('LISTA GESTANTE DO GOOGLE FORMS'!$O18))</f>
        <v>17 Religiao</v>
      </c>
      <c r="O18" s="48" t="str">
        <f>IF(ISBLANK('LISTA GESTANTE DO GOOGLE FORMS'!$P18),"",('LISTA GESTANTE DO GOOGLE FORMS'!$P18))</f>
        <v>17 Observações</v>
      </c>
      <c r="P18" s="49" t="str">
        <f>IF(ISBLANK('LISTA GESTANTE DO GOOGLE FORMS'!$Q18),"",('LISTA GESTANTE DO GOOGLE FORMS'!$Q18))</f>
        <v>17 Endereço</v>
      </c>
      <c r="Q18" s="49" t="str">
        <f>IF(ISBLANK('LISTA GESTANTE DO GOOGLE FORMS'!$R18),"",('LISTA GESTANTE DO GOOGLE FORMS'!$R18))</f>
        <v>17 Bairro</v>
      </c>
      <c r="R18" s="49" t="str">
        <f>IF(ISBLANK('LISTA GESTANTE DO GOOGLE FORMS'!$S18),"",('LISTA GESTANTE DO GOOGLE FORMS'!$S18))</f>
        <v>17 cidade</v>
      </c>
      <c r="S18" s="49" t="str">
        <f>IF(ISBLANK('LISTA GESTANTE DO GOOGLE FORMS'!$T18),"",('LISTA GESTANTE DO GOOGLE FORMS'!$T18))</f>
        <v>17 nome do pai</v>
      </c>
      <c r="T18" s="48" t="str">
        <f>IF(ISBLANK('LISTA GESTANTE DO GOOGLE FORMS'!$U18),"",('LISTA GESTANTE DO GOOGLE FORMS'!$U18))</f>
        <v>17 NP</v>
      </c>
      <c r="U18" s="48" t="str">
        <f>IF(ISBLANK('LISTA GESTANTE DO GOOGLE FORMS'!$V18),"",('LISTA GESTANTE DO GOOGLE FORMS'!$V18))</f>
        <v>17 Atendim</v>
      </c>
      <c r="V18" s="48" t="str">
        <f>IF(ISBLANK('LISTA GESTANTE DO GOOGLE FORMS'!$W18),"",('LISTA GESTANTE DO GOOGLE FORMS'!$W18))</f>
        <v>17 Beneficio</v>
      </c>
      <c r="W18" s="108" t="str">
        <f>IF(ISBLANK('LISTA GESTANTE DO GOOGLE FORMS'!$X18),"",('LISTA GESTANTE DO GOOGLE FORMS'!$X18))</f>
        <v>17 email</v>
      </c>
      <c r="X18" s="49" t="str">
        <f>IF(ISBLANK('LISTA GESTANTE DO GOOGLE FORMS'!$Y18),"",('LISTA GESTANTE DO GOOGLE FORMS'!$Y18))</f>
        <v>17 joao</v>
      </c>
    </row>
    <row r="19" spans="1:35" ht="17.100000000000001" customHeight="1" thickBot="1" x14ac:dyDescent="0.3">
      <c r="A19" s="39">
        <f t="shared" si="0"/>
        <v>18</v>
      </c>
      <c r="B19" s="92">
        <f>IF(ISBLANK('LISTA GESTANTE DO GOOGLE FORMS'!$C19),"",('LISTA GESTANTE DO GOOGLE FORMS'!$C19))</f>
        <v>18</v>
      </c>
      <c r="C19" s="49" t="str">
        <f>IF(ISBLANK('LISTA GESTANTE DO GOOGLE FORMS'!$D19),"",('LISTA GESTANTE DO GOOGLE FORMS'!$D19))</f>
        <v>18 nome da gestante</v>
      </c>
      <c r="D19" s="48" t="str">
        <f>IF(ISBLANK('LISTA GESTANTE DO GOOGLE FORMS'!$E19),"",('LISTA GESTANTE DO GOOGLE FORMS'!$E19))</f>
        <v>18 telefone</v>
      </c>
      <c r="E19" s="48" t="str">
        <f>IF(ISBLANK('LISTA GESTANTE DO GOOGLE FORMS'!$F19),"",('LISTA GESTANTE DO GOOGLE FORMS'!$F19))</f>
        <v>18 gest</v>
      </c>
      <c r="F19" s="51" t="str">
        <f>IF(ISBLANK('LISTA GESTANTE DO GOOGLE FORMS'!$G19),"",('LISTA GESTANTE DO GOOGLE FORMS'!$G19))</f>
        <v>18 parto</v>
      </c>
      <c r="G19" s="48" t="str">
        <f>IF(ISBLANK('LISTA GESTANTE DO GOOGLE FORMS'!$H19),"",('LISTA GESTANTE DO GOOGLE FORMS'!$H19))</f>
        <v>18 sexo</v>
      </c>
      <c r="H19" s="48" t="str">
        <f>IF(ISBLANK('LISTA GESTANTE DO GOOGLE FORMS'!$I19),"",('LISTA GESTANTE DO GOOGLE FORMS'!$I19))</f>
        <v>18 cpf</v>
      </c>
      <c r="I19" s="48" t="str">
        <f>IF(ISBLANK('LISTA GESTANTE DO GOOGLE FORMS'!$J19),"",('LISTA GESTANTE DO GOOGLE FORMS'!$J19))</f>
        <v>18 identidade</v>
      </c>
      <c r="J19" s="51" t="str">
        <f>IF(ISBLANK('LISTA GESTANTE DO GOOGLE FORMS'!$K19),"",('LISTA GESTANTE DO GOOGLE FORMS'!$K19))</f>
        <v>18 D Nascim</v>
      </c>
      <c r="K19" s="48" t="str">
        <f>IF(ISBLANK('LISTA GESTANTE DO GOOGLE FORMS'!$L19),"",('LISTA GESTANTE DO GOOGLE FORMS'!$L19))</f>
        <v>18 idad</v>
      </c>
      <c r="L19" s="48" t="str">
        <f>IF(ISBLANK('LISTA GESTANTE DO GOOGLE FORMS'!$M19),"",('LISTA GESTANTE DO GOOGLE FORMS'!$M19))</f>
        <v>18 trab</v>
      </c>
      <c r="M19" s="48" t="str">
        <f>IF(ISBLANK('LISTA GESTANTE DO GOOGLE FORMS'!$N19),"",('LISTA GESTANTE DO GOOGLE FORMS'!$N19))</f>
        <v>18 Est Civil</v>
      </c>
      <c r="N19" s="48" t="str">
        <f>IF(ISBLANK('LISTA GESTANTE DO GOOGLE FORMS'!$O19),"",('LISTA GESTANTE DO GOOGLE FORMS'!$O19))</f>
        <v>18 Religiao</v>
      </c>
      <c r="O19" s="48" t="str">
        <f>IF(ISBLANK('LISTA GESTANTE DO GOOGLE FORMS'!$P19),"",('LISTA GESTANTE DO GOOGLE FORMS'!$P19))</f>
        <v>18 Observações</v>
      </c>
      <c r="P19" s="49" t="str">
        <f>IF(ISBLANK('LISTA GESTANTE DO GOOGLE FORMS'!$Q19),"",('LISTA GESTANTE DO GOOGLE FORMS'!$Q19))</f>
        <v>18 Endereço</v>
      </c>
      <c r="Q19" s="49" t="str">
        <f>IF(ISBLANK('LISTA GESTANTE DO GOOGLE FORMS'!$R19),"",('LISTA GESTANTE DO GOOGLE FORMS'!$R19))</f>
        <v>18 Bairro</v>
      </c>
      <c r="R19" s="49" t="str">
        <f>IF(ISBLANK('LISTA GESTANTE DO GOOGLE FORMS'!$S19),"",('LISTA GESTANTE DO GOOGLE FORMS'!$S19))</f>
        <v>18 cidade</v>
      </c>
      <c r="S19" s="49" t="str">
        <f>IF(ISBLANK('LISTA GESTANTE DO GOOGLE FORMS'!$T19),"",('LISTA GESTANTE DO GOOGLE FORMS'!$T19))</f>
        <v>18 nome do pai</v>
      </c>
      <c r="T19" s="48" t="str">
        <f>IF(ISBLANK('LISTA GESTANTE DO GOOGLE FORMS'!$U19),"",('LISTA GESTANTE DO GOOGLE FORMS'!$U19))</f>
        <v>18 NP</v>
      </c>
      <c r="U19" s="48" t="str">
        <f>IF(ISBLANK('LISTA GESTANTE DO GOOGLE FORMS'!$V19),"",('LISTA GESTANTE DO GOOGLE FORMS'!$V19))</f>
        <v>18 Atendim</v>
      </c>
      <c r="V19" s="48" t="str">
        <f>IF(ISBLANK('LISTA GESTANTE DO GOOGLE FORMS'!$W19),"",('LISTA GESTANTE DO GOOGLE FORMS'!$W19))</f>
        <v>18 Beneficio</v>
      </c>
      <c r="W19" s="108" t="str">
        <f>IF(ISBLANK('LISTA GESTANTE DO GOOGLE FORMS'!$X19),"",('LISTA GESTANTE DO GOOGLE FORMS'!$X19))</f>
        <v>18 email</v>
      </c>
      <c r="X19" s="49" t="str">
        <f>IF(ISBLANK('LISTA GESTANTE DO GOOGLE FORMS'!$Y19),"",('LISTA GESTANTE DO GOOGLE FORMS'!$Y19))</f>
        <v>18 joao</v>
      </c>
    </row>
    <row r="20" spans="1:35" ht="17.100000000000001" customHeight="1" thickBot="1" x14ac:dyDescent="0.3">
      <c r="A20" s="39">
        <f t="shared" si="0"/>
        <v>19</v>
      </c>
      <c r="B20" s="92">
        <f>IF(ISBLANK('LISTA GESTANTE DO GOOGLE FORMS'!$C20),"",('LISTA GESTANTE DO GOOGLE FORMS'!$C20))</f>
        <v>19</v>
      </c>
      <c r="C20" s="49" t="str">
        <f>IF(ISBLANK('LISTA GESTANTE DO GOOGLE FORMS'!$D20),"",('LISTA GESTANTE DO GOOGLE FORMS'!$D20))</f>
        <v>19 nome da gestante</v>
      </c>
      <c r="D20" s="48" t="str">
        <f>IF(ISBLANK('LISTA GESTANTE DO GOOGLE FORMS'!$E20),"",('LISTA GESTANTE DO GOOGLE FORMS'!$E20))</f>
        <v>19 telefone</v>
      </c>
      <c r="E20" s="48" t="str">
        <f>IF(ISBLANK('LISTA GESTANTE DO GOOGLE FORMS'!$F20),"",('LISTA GESTANTE DO GOOGLE FORMS'!$F20))</f>
        <v>19 gest</v>
      </c>
      <c r="F20" s="51" t="str">
        <f>IF(ISBLANK('LISTA GESTANTE DO GOOGLE FORMS'!$G20),"",('LISTA GESTANTE DO GOOGLE FORMS'!$G20))</f>
        <v>19 parto</v>
      </c>
      <c r="G20" s="48" t="str">
        <f>IF(ISBLANK('LISTA GESTANTE DO GOOGLE FORMS'!$H20),"",('LISTA GESTANTE DO GOOGLE FORMS'!$H20))</f>
        <v>19 sexo</v>
      </c>
      <c r="H20" s="48" t="str">
        <f>IF(ISBLANK('LISTA GESTANTE DO GOOGLE FORMS'!$I20),"",('LISTA GESTANTE DO GOOGLE FORMS'!$I20))</f>
        <v>19 cpf</v>
      </c>
      <c r="I20" s="48" t="str">
        <f>IF(ISBLANK('LISTA GESTANTE DO GOOGLE FORMS'!$J20),"",('LISTA GESTANTE DO GOOGLE FORMS'!$J20))</f>
        <v>19 identidade</v>
      </c>
      <c r="J20" s="51" t="str">
        <f>IF(ISBLANK('LISTA GESTANTE DO GOOGLE FORMS'!$K20),"",('LISTA GESTANTE DO GOOGLE FORMS'!$K20))</f>
        <v>19 D Nascim</v>
      </c>
      <c r="K20" s="48" t="str">
        <f>IF(ISBLANK('LISTA GESTANTE DO GOOGLE FORMS'!$L20),"",('LISTA GESTANTE DO GOOGLE FORMS'!$L20))</f>
        <v>19 idad</v>
      </c>
      <c r="L20" s="48" t="str">
        <f>IF(ISBLANK('LISTA GESTANTE DO GOOGLE FORMS'!$M20),"",('LISTA GESTANTE DO GOOGLE FORMS'!$M20))</f>
        <v>19 trab</v>
      </c>
      <c r="M20" s="48" t="str">
        <f>IF(ISBLANK('LISTA GESTANTE DO GOOGLE FORMS'!$N20),"",('LISTA GESTANTE DO GOOGLE FORMS'!$N20))</f>
        <v>19 Est Civil</v>
      </c>
      <c r="N20" s="48" t="str">
        <f>IF(ISBLANK('LISTA GESTANTE DO GOOGLE FORMS'!$O20),"",('LISTA GESTANTE DO GOOGLE FORMS'!$O20))</f>
        <v>19 Religiao</v>
      </c>
      <c r="O20" s="48" t="str">
        <f>IF(ISBLANK('LISTA GESTANTE DO GOOGLE FORMS'!$P20),"",('LISTA GESTANTE DO GOOGLE FORMS'!$P20))</f>
        <v>19 Observações</v>
      </c>
      <c r="P20" s="49" t="str">
        <f>IF(ISBLANK('LISTA GESTANTE DO GOOGLE FORMS'!$Q20),"",('LISTA GESTANTE DO GOOGLE FORMS'!$Q20))</f>
        <v>19 Endereço</v>
      </c>
      <c r="Q20" s="49" t="str">
        <f>IF(ISBLANK('LISTA GESTANTE DO GOOGLE FORMS'!$R20),"",('LISTA GESTANTE DO GOOGLE FORMS'!$R20))</f>
        <v>19 Bairro</v>
      </c>
      <c r="R20" s="49" t="str">
        <f>IF(ISBLANK('LISTA GESTANTE DO GOOGLE FORMS'!$S20),"",('LISTA GESTANTE DO GOOGLE FORMS'!$S20))</f>
        <v>19 cidade</v>
      </c>
      <c r="S20" s="49" t="str">
        <f>IF(ISBLANK('LISTA GESTANTE DO GOOGLE FORMS'!$T20),"",('LISTA GESTANTE DO GOOGLE FORMS'!$T20))</f>
        <v>19 nome do pai</v>
      </c>
      <c r="T20" s="48" t="str">
        <f>IF(ISBLANK('LISTA GESTANTE DO GOOGLE FORMS'!$U20),"",('LISTA GESTANTE DO GOOGLE FORMS'!$U20))</f>
        <v>19 NP</v>
      </c>
      <c r="U20" s="48" t="str">
        <f>IF(ISBLANK('LISTA GESTANTE DO GOOGLE FORMS'!$V20),"",('LISTA GESTANTE DO GOOGLE FORMS'!$V20))</f>
        <v>19 Atendim</v>
      </c>
      <c r="V20" s="48" t="str">
        <f>IF(ISBLANK('LISTA GESTANTE DO GOOGLE FORMS'!$W20),"",('LISTA GESTANTE DO GOOGLE FORMS'!$W20))</f>
        <v>19 Beneficio</v>
      </c>
      <c r="W20" s="108" t="str">
        <f>IF(ISBLANK('LISTA GESTANTE DO GOOGLE FORMS'!$X20),"",('LISTA GESTANTE DO GOOGLE FORMS'!$X20))</f>
        <v>19 email</v>
      </c>
      <c r="X20" s="49" t="str">
        <f>IF(ISBLANK('LISTA GESTANTE DO GOOGLE FORMS'!$Y20),"",('LISTA GESTANTE DO GOOGLE FORMS'!$Y20))</f>
        <v>19 joao</v>
      </c>
    </row>
    <row r="21" spans="1:35" ht="17.100000000000001" customHeight="1" thickBot="1" x14ac:dyDescent="0.3">
      <c r="A21" s="39">
        <f t="shared" si="0"/>
        <v>20</v>
      </c>
      <c r="B21" s="92">
        <f>IF(ISBLANK('LISTA GESTANTE DO GOOGLE FORMS'!$C21),"",('LISTA GESTANTE DO GOOGLE FORMS'!$C21))</f>
        <v>20</v>
      </c>
      <c r="C21" s="49" t="str">
        <f>IF(ISBLANK('LISTA GESTANTE DO GOOGLE FORMS'!$D21),"",('LISTA GESTANTE DO GOOGLE FORMS'!$D21))</f>
        <v>20 nome da gestante</v>
      </c>
      <c r="D21" s="48" t="str">
        <f>IF(ISBLANK('LISTA GESTANTE DO GOOGLE FORMS'!$E21),"",('LISTA GESTANTE DO GOOGLE FORMS'!$E21))</f>
        <v>20 telefone</v>
      </c>
      <c r="E21" s="48" t="str">
        <f>IF(ISBLANK('LISTA GESTANTE DO GOOGLE FORMS'!$F21),"",('LISTA GESTANTE DO GOOGLE FORMS'!$F21))</f>
        <v>20 gest</v>
      </c>
      <c r="F21" s="51" t="str">
        <f>IF(ISBLANK('LISTA GESTANTE DO GOOGLE FORMS'!$G21),"",('LISTA GESTANTE DO GOOGLE FORMS'!$G21))</f>
        <v>20 parto</v>
      </c>
      <c r="G21" s="48" t="str">
        <f>IF(ISBLANK('LISTA GESTANTE DO GOOGLE FORMS'!$H21),"",('LISTA GESTANTE DO GOOGLE FORMS'!$H21))</f>
        <v>20 sexo</v>
      </c>
      <c r="H21" s="48" t="str">
        <f>IF(ISBLANK('LISTA GESTANTE DO GOOGLE FORMS'!$I21),"",('LISTA GESTANTE DO GOOGLE FORMS'!$I21))</f>
        <v>20 cpf</v>
      </c>
      <c r="I21" s="48" t="str">
        <f>IF(ISBLANK('LISTA GESTANTE DO GOOGLE FORMS'!$J21),"",('LISTA GESTANTE DO GOOGLE FORMS'!$J21))</f>
        <v>20 identidade</v>
      </c>
      <c r="J21" s="51" t="str">
        <f>IF(ISBLANK('LISTA GESTANTE DO GOOGLE FORMS'!$K21),"",('LISTA GESTANTE DO GOOGLE FORMS'!$K21))</f>
        <v>20 D Nascim</v>
      </c>
      <c r="K21" s="48" t="str">
        <f>IF(ISBLANK('LISTA GESTANTE DO GOOGLE FORMS'!$L21),"",('LISTA GESTANTE DO GOOGLE FORMS'!$L21))</f>
        <v>20 idad</v>
      </c>
      <c r="L21" s="48" t="str">
        <f>IF(ISBLANK('LISTA GESTANTE DO GOOGLE FORMS'!$M21),"",('LISTA GESTANTE DO GOOGLE FORMS'!$M21))</f>
        <v>20 trab</v>
      </c>
      <c r="M21" s="48" t="str">
        <f>IF(ISBLANK('LISTA GESTANTE DO GOOGLE FORMS'!$N21),"",('LISTA GESTANTE DO GOOGLE FORMS'!$N21))</f>
        <v>20 Est Civil</v>
      </c>
      <c r="N21" s="48" t="str">
        <f>IF(ISBLANK('LISTA GESTANTE DO GOOGLE FORMS'!$O21),"",('LISTA GESTANTE DO GOOGLE FORMS'!$O21))</f>
        <v>20 Religiao</v>
      </c>
      <c r="O21" s="48" t="str">
        <f>IF(ISBLANK('LISTA GESTANTE DO GOOGLE FORMS'!$P21),"",('LISTA GESTANTE DO GOOGLE FORMS'!$P21))</f>
        <v>20 Observações</v>
      </c>
      <c r="P21" s="49" t="str">
        <f>IF(ISBLANK('LISTA GESTANTE DO GOOGLE FORMS'!$Q21),"",('LISTA GESTANTE DO GOOGLE FORMS'!$Q21))</f>
        <v>20 Endereço</v>
      </c>
      <c r="Q21" s="49" t="str">
        <f>IF(ISBLANK('LISTA GESTANTE DO GOOGLE FORMS'!$R21),"",('LISTA GESTANTE DO GOOGLE FORMS'!$R21))</f>
        <v>20 Bairro</v>
      </c>
      <c r="R21" s="49" t="str">
        <f>IF(ISBLANK('LISTA GESTANTE DO GOOGLE FORMS'!$S21),"",('LISTA GESTANTE DO GOOGLE FORMS'!$S21))</f>
        <v>20 cidade</v>
      </c>
      <c r="S21" s="49" t="str">
        <f>IF(ISBLANK('LISTA GESTANTE DO GOOGLE FORMS'!$T21),"",('LISTA GESTANTE DO GOOGLE FORMS'!$T21))</f>
        <v>20 nome do pai</v>
      </c>
      <c r="T21" s="48" t="str">
        <f>IF(ISBLANK('LISTA GESTANTE DO GOOGLE FORMS'!$U21),"",('LISTA GESTANTE DO GOOGLE FORMS'!$U21))</f>
        <v>20 NP</v>
      </c>
      <c r="U21" s="48" t="str">
        <f>IF(ISBLANK('LISTA GESTANTE DO GOOGLE FORMS'!$V21),"",('LISTA GESTANTE DO GOOGLE FORMS'!$V21))</f>
        <v>20 Atendim</v>
      </c>
      <c r="V21" s="48" t="str">
        <f>IF(ISBLANK('LISTA GESTANTE DO GOOGLE FORMS'!$W21),"",('LISTA GESTANTE DO GOOGLE FORMS'!$W21))</f>
        <v>20 Beneficio</v>
      </c>
      <c r="W21" s="108" t="str">
        <f>IF(ISBLANK('LISTA GESTANTE DO GOOGLE FORMS'!$X21),"",('LISTA GESTANTE DO GOOGLE FORMS'!$X21))</f>
        <v>20 email</v>
      </c>
      <c r="X21" s="49" t="str">
        <f>IF(ISBLANK('LISTA GESTANTE DO GOOGLE FORMS'!$Y21),"",('LISTA GESTANTE DO GOOGLE FORMS'!$Y21))</f>
        <v>20 joao</v>
      </c>
    </row>
    <row r="22" spans="1:35" ht="17.100000000000001" customHeight="1" thickBot="1" x14ac:dyDescent="0.3">
      <c r="A22" s="39">
        <f t="shared" si="0"/>
        <v>21</v>
      </c>
      <c r="B22" s="92">
        <f>IF(ISBLANK('LISTA GESTANTE DO GOOGLE FORMS'!$C22),"",('LISTA GESTANTE DO GOOGLE FORMS'!$C22))</f>
        <v>21</v>
      </c>
      <c r="C22" s="49" t="str">
        <f>IF(ISBLANK('LISTA GESTANTE DO GOOGLE FORMS'!$D22),"",('LISTA GESTANTE DO GOOGLE FORMS'!$D22))</f>
        <v>21 nome da gestante</v>
      </c>
      <c r="D22" s="48" t="str">
        <f>IF(ISBLANK('LISTA GESTANTE DO GOOGLE FORMS'!$E22),"",('LISTA GESTANTE DO GOOGLE FORMS'!$E22))</f>
        <v>21 telefone</v>
      </c>
      <c r="E22" s="48" t="str">
        <f>IF(ISBLANK('LISTA GESTANTE DO GOOGLE FORMS'!$F22),"",('LISTA GESTANTE DO GOOGLE FORMS'!$F22))</f>
        <v>21 gest</v>
      </c>
      <c r="F22" s="51" t="str">
        <f>IF(ISBLANK('LISTA GESTANTE DO GOOGLE FORMS'!$G22),"",('LISTA GESTANTE DO GOOGLE FORMS'!$G22))</f>
        <v>21 parto</v>
      </c>
      <c r="G22" s="48" t="str">
        <f>IF(ISBLANK('LISTA GESTANTE DO GOOGLE FORMS'!$H22),"",('LISTA GESTANTE DO GOOGLE FORMS'!$H22))</f>
        <v>21 sexo</v>
      </c>
      <c r="H22" s="48" t="str">
        <f>IF(ISBLANK('LISTA GESTANTE DO GOOGLE FORMS'!$I22),"",('LISTA GESTANTE DO GOOGLE FORMS'!$I22))</f>
        <v>21 cpf</v>
      </c>
      <c r="I22" s="48" t="str">
        <f>IF(ISBLANK('LISTA GESTANTE DO GOOGLE FORMS'!$J22),"",('LISTA GESTANTE DO GOOGLE FORMS'!$J22))</f>
        <v>21 identidade</v>
      </c>
      <c r="J22" s="51" t="str">
        <f>IF(ISBLANK('LISTA GESTANTE DO GOOGLE FORMS'!$K22),"",('LISTA GESTANTE DO GOOGLE FORMS'!$K22))</f>
        <v>21 D Nascim</v>
      </c>
      <c r="K22" s="48" t="str">
        <f>IF(ISBLANK('LISTA GESTANTE DO GOOGLE FORMS'!$L22),"",('LISTA GESTANTE DO GOOGLE FORMS'!$L22))</f>
        <v>21 idad</v>
      </c>
      <c r="L22" s="48" t="str">
        <f>IF(ISBLANK('LISTA GESTANTE DO GOOGLE FORMS'!$M22),"",('LISTA GESTANTE DO GOOGLE FORMS'!$M22))</f>
        <v>21 trab</v>
      </c>
      <c r="M22" s="48" t="str">
        <f>IF(ISBLANK('LISTA GESTANTE DO GOOGLE FORMS'!$N22),"",('LISTA GESTANTE DO GOOGLE FORMS'!$N22))</f>
        <v>21 Est Civil</v>
      </c>
      <c r="N22" s="48" t="str">
        <f>IF(ISBLANK('LISTA GESTANTE DO GOOGLE FORMS'!$O22),"",('LISTA GESTANTE DO GOOGLE FORMS'!$O22))</f>
        <v>21 Religiao</v>
      </c>
      <c r="O22" s="48" t="str">
        <f>IF(ISBLANK('LISTA GESTANTE DO GOOGLE FORMS'!$P22),"",('LISTA GESTANTE DO GOOGLE FORMS'!$P22))</f>
        <v>21 Observações</v>
      </c>
      <c r="P22" s="49" t="str">
        <f>IF(ISBLANK('LISTA GESTANTE DO GOOGLE FORMS'!$Q22),"",('LISTA GESTANTE DO GOOGLE FORMS'!$Q22))</f>
        <v>21 Endereço</v>
      </c>
      <c r="Q22" s="49" t="str">
        <f>IF(ISBLANK('LISTA GESTANTE DO GOOGLE FORMS'!$R22),"",('LISTA GESTANTE DO GOOGLE FORMS'!$R22))</f>
        <v>21 Bairro</v>
      </c>
      <c r="R22" s="49" t="str">
        <f>IF(ISBLANK('LISTA GESTANTE DO GOOGLE FORMS'!$S22),"",('LISTA GESTANTE DO GOOGLE FORMS'!$S22))</f>
        <v>21 cidade</v>
      </c>
      <c r="S22" s="49" t="str">
        <f>IF(ISBLANK('LISTA GESTANTE DO GOOGLE FORMS'!$T22),"",('LISTA GESTANTE DO GOOGLE FORMS'!$T22))</f>
        <v>21 nome do pai</v>
      </c>
      <c r="T22" s="48" t="str">
        <f>IF(ISBLANK('LISTA GESTANTE DO GOOGLE FORMS'!$U22),"",('LISTA GESTANTE DO GOOGLE FORMS'!$U22))</f>
        <v>21 NP</v>
      </c>
      <c r="U22" s="48" t="str">
        <f>IF(ISBLANK('LISTA GESTANTE DO GOOGLE FORMS'!$V22),"",('LISTA GESTANTE DO GOOGLE FORMS'!$V22))</f>
        <v>21 Atendim</v>
      </c>
      <c r="V22" s="48" t="str">
        <f>IF(ISBLANK('LISTA GESTANTE DO GOOGLE FORMS'!$W22),"",('LISTA GESTANTE DO GOOGLE FORMS'!$W22))</f>
        <v>21 Beneficio</v>
      </c>
      <c r="W22" s="108" t="str">
        <f>IF(ISBLANK('LISTA GESTANTE DO GOOGLE FORMS'!$X22),"",('LISTA GESTANTE DO GOOGLE FORMS'!$X22))</f>
        <v>21 email</v>
      </c>
      <c r="X22" s="49" t="str">
        <f>IF(ISBLANK('LISTA GESTANTE DO GOOGLE FORMS'!$Y22),"",('LISTA GESTANTE DO GOOGLE FORMS'!$Y22))</f>
        <v>21 joao</v>
      </c>
    </row>
    <row r="23" spans="1:35" ht="17.100000000000001" customHeight="1" thickBot="1" x14ac:dyDescent="0.3">
      <c r="A23" s="39">
        <f t="shared" si="0"/>
        <v>22</v>
      </c>
      <c r="B23" s="92">
        <f>IF(ISBLANK('LISTA GESTANTE DO GOOGLE FORMS'!$C23),"",('LISTA GESTANTE DO GOOGLE FORMS'!$C23))</f>
        <v>22</v>
      </c>
      <c r="C23" s="49" t="str">
        <f>IF(ISBLANK('LISTA GESTANTE DO GOOGLE FORMS'!$D23),"",('LISTA GESTANTE DO GOOGLE FORMS'!$D23))</f>
        <v>22 nome da gestante</v>
      </c>
      <c r="D23" s="48" t="str">
        <f>IF(ISBLANK('LISTA GESTANTE DO GOOGLE FORMS'!$E23),"",('LISTA GESTANTE DO GOOGLE FORMS'!$E23))</f>
        <v>22 telefone</v>
      </c>
      <c r="E23" s="48" t="str">
        <f>IF(ISBLANK('LISTA GESTANTE DO GOOGLE FORMS'!$F23),"",('LISTA GESTANTE DO GOOGLE FORMS'!$F23))</f>
        <v>22 gest</v>
      </c>
      <c r="F23" s="51" t="str">
        <f>IF(ISBLANK('LISTA GESTANTE DO GOOGLE FORMS'!$G23),"",('LISTA GESTANTE DO GOOGLE FORMS'!$G23))</f>
        <v>22 parto</v>
      </c>
      <c r="G23" s="48" t="str">
        <f>IF(ISBLANK('LISTA GESTANTE DO GOOGLE FORMS'!$H23),"",('LISTA GESTANTE DO GOOGLE FORMS'!$H23))</f>
        <v>22 sexo</v>
      </c>
      <c r="H23" s="48" t="str">
        <f>IF(ISBLANK('LISTA GESTANTE DO GOOGLE FORMS'!$I23),"",('LISTA GESTANTE DO GOOGLE FORMS'!$I23))</f>
        <v>22 cpf</v>
      </c>
      <c r="I23" s="48" t="str">
        <f>IF(ISBLANK('LISTA GESTANTE DO GOOGLE FORMS'!$J23),"",('LISTA GESTANTE DO GOOGLE FORMS'!$J23))</f>
        <v>22 identidade</v>
      </c>
      <c r="J23" s="51" t="str">
        <f>IF(ISBLANK('LISTA GESTANTE DO GOOGLE FORMS'!$K23),"",('LISTA GESTANTE DO GOOGLE FORMS'!$K23))</f>
        <v>22 D Nascim</v>
      </c>
      <c r="K23" s="48" t="str">
        <f>IF(ISBLANK('LISTA GESTANTE DO GOOGLE FORMS'!$L23),"",('LISTA GESTANTE DO GOOGLE FORMS'!$L23))</f>
        <v>22 idad</v>
      </c>
      <c r="L23" s="48" t="str">
        <f>IF(ISBLANK('LISTA GESTANTE DO GOOGLE FORMS'!$M23),"",('LISTA GESTANTE DO GOOGLE FORMS'!$M23))</f>
        <v>22 trab</v>
      </c>
      <c r="M23" s="48" t="str">
        <f>IF(ISBLANK('LISTA GESTANTE DO GOOGLE FORMS'!$N23),"",('LISTA GESTANTE DO GOOGLE FORMS'!$N23))</f>
        <v>22 Est Civil</v>
      </c>
      <c r="N23" s="48" t="str">
        <f>IF(ISBLANK('LISTA GESTANTE DO GOOGLE FORMS'!$O23),"",('LISTA GESTANTE DO GOOGLE FORMS'!$O23))</f>
        <v>22 Religiao</v>
      </c>
      <c r="O23" s="48" t="str">
        <f>IF(ISBLANK('LISTA GESTANTE DO GOOGLE FORMS'!$P23),"",('LISTA GESTANTE DO GOOGLE FORMS'!$P23))</f>
        <v>22 Observações</v>
      </c>
      <c r="P23" s="49" t="str">
        <f>IF(ISBLANK('LISTA GESTANTE DO GOOGLE FORMS'!$Q23),"",('LISTA GESTANTE DO GOOGLE FORMS'!$Q23))</f>
        <v>22 Endereço</v>
      </c>
      <c r="Q23" s="49" t="str">
        <f>IF(ISBLANK('LISTA GESTANTE DO GOOGLE FORMS'!$R23),"",('LISTA GESTANTE DO GOOGLE FORMS'!$R23))</f>
        <v>22 Bairro</v>
      </c>
      <c r="R23" s="49" t="str">
        <f>IF(ISBLANK('LISTA GESTANTE DO GOOGLE FORMS'!$S23),"",('LISTA GESTANTE DO GOOGLE FORMS'!$S23))</f>
        <v>22 cidade</v>
      </c>
      <c r="S23" s="49" t="str">
        <f>IF(ISBLANK('LISTA GESTANTE DO GOOGLE FORMS'!$T23),"",('LISTA GESTANTE DO GOOGLE FORMS'!$T23))</f>
        <v>22 nome do pai</v>
      </c>
      <c r="T23" s="48" t="str">
        <f>IF(ISBLANK('LISTA GESTANTE DO GOOGLE FORMS'!$U23),"",('LISTA GESTANTE DO GOOGLE FORMS'!$U23))</f>
        <v>22 NP</v>
      </c>
      <c r="U23" s="48" t="str">
        <f>IF(ISBLANK('LISTA GESTANTE DO GOOGLE FORMS'!$V23),"",('LISTA GESTANTE DO GOOGLE FORMS'!$V23))</f>
        <v>22 Atendim</v>
      </c>
      <c r="V23" s="48" t="str">
        <f>IF(ISBLANK('LISTA GESTANTE DO GOOGLE FORMS'!$W23),"",('LISTA GESTANTE DO GOOGLE FORMS'!$W23))</f>
        <v>22 Beneficio</v>
      </c>
      <c r="W23" s="108" t="str">
        <f>IF(ISBLANK('LISTA GESTANTE DO GOOGLE FORMS'!$X23),"",('LISTA GESTANTE DO GOOGLE FORMS'!$X23))</f>
        <v>22 email</v>
      </c>
      <c r="X23" s="49" t="str">
        <f>IF(ISBLANK('LISTA GESTANTE DO GOOGLE FORMS'!$Y23),"",('LISTA GESTANTE DO GOOGLE FORMS'!$Y23))</f>
        <v>22 joao</v>
      </c>
    </row>
    <row r="24" spans="1:35" ht="17.100000000000001" customHeight="1" thickBot="1" x14ac:dyDescent="0.3">
      <c r="A24" s="39">
        <f t="shared" si="0"/>
        <v>23</v>
      </c>
      <c r="B24" s="92">
        <f>IF(ISBLANK('LISTA GESTANTE DO GOOGLE FORMS'!$C24),"",('LISTA GESTANTE DO GOOGLE FORMS'!$C24))</f>
        <v>23</v>
      </c>
      <c r="C24" s="49" t="str">
        <f>IF(ISBLANK('LISTA GESTANTE DO GOOGLE FORMS'!$D24),"",('LISTA GESTANTE DO GOOGLE FORMS'!$D24))</f>
        <v>23 nome da gestante</v>
      </c>
      <c r="D24" s="48" t="str">
        <f>IF(ISBLANK('LISTA GESTANTE DO GOOGLE FORMS'!$E24),"",('LISTA GESTANTE DO GOOGLE FORMS'!$E24))</f>
        <v>23 telefone</v>
      </c>
      <c r="E24" s="48" t="str">
        <f>IF(ISBLANK('LISTA GESTANTE DO GOOGLE FORMS'!$F24),"",('LISTA GESTANTE DO GOOGLE FORMS'!$F24))</f>
        <v>23 gest</v>
      </c>
      <c r="F24" s="51" t="str">
        <f>IF(ISBLANK('LISTA GESTANTE DO GOOGLE FORMS'!$G24),"",('LISTA GESTANTE DO GOOGLE FORMS'!$G24))</f>
        <v>23 parto</v>
      </c>
      <c r="G24" s="48" t="str">
        <f>IF(ISBLANK('LISTA GESTANTE DO GOOGLE FORMS'!$H24),"",('LISTA GESTANTE DO GOOGLE FORMS'!$H24))</f>
        <v>23 sexo</v>
      </c>
      <c r="H24" s="48" t="str">
        <f>IF(ISBLANK('LISTA GESTANTE DO GOOGLE FORMS'!$I24),"",('LISTA GESTANTE DO GOOGLE FORMS'!$I24))</f>
        <v>23 cpf</v>
      </c>
      <c r="I24" s="48" t="str">
        <f>IF(ISBLANK('LISTA GESTANTE DO GOOGLE FORMS'!$J24),"",('LISTA GESTANTE DO GOOGLE FORMS'!$J24))</f>
        <v>23 identidade</v>
      </c>
      <c r="J24" s="51" t="str">
        <f>IF(ISBLANK('LISTA GESTANTE DO GOOGLE FORMS'!$K24),"",('LISTA GESTANTE DO GOOGLE FORMS'!$K24))</f>
        <v>23 D Nascim</v>
      </c>
      <c r="K24" s="48" t="str">
        <f>IF(ISBLANK('LISTA GESTANTE DO GOOGLE FORMS'!$L24),"",('LISTA GESTANTE DO GOOGLE FORMS'!$L24))</f>
        <v>23 idad</v>
      </c>
      <c r="L24" s="48" t="str">
        <f>IF(ISBLANK('LISTA GESTANTE DO GOOGLE FORMS'!$M24),"",('LISTA GESTANTE DO GOOGLE FORMS'!$M24))</f>
        <v>23 trab</v>
      </c>
      <c r="M24" s="48" t="str">
        <f>IF(ISBLANK('LISTA GESTANTE DO GOOGLE FORMS'!$N24),"",('LISTA GESTANTE DO GOOGLE FORMS'!$N24))</f>
        <v>23 Est Civil</v>
      </c>
      <c r="N24" s="48" t="str">
        <f>IF(ISBLANK('LISTA GESTANTE DO GOOGLE FORMS'!$O24),"",('LISTA GESTANTE DO GOOGLE FORMS'!$O24))</f>
        <v>23 Religiao</v>
      </c>
      <c r="O24" s="48" t="str">
        <f>IF(ISBLANK('LISTA GESTANTE DO GOOGLE FORMS'!$P24),"",('LISTA GESTANTE DO GOOGLE FORMS'!$P24))</f>
        <v>23 Observações</v>
      </c>
      <c r="P24" s="49" t="str">
        <f>IF(ISBLANK('LISTA GESTANTE DO GOOGLE FORMS'!$Q24),"",('LISTA GESTANTE DO GOOGLE FORMS'!$Q24))</f>
        <v>23 Endereço</v>
      </c>
      <c r="Q24" s="49" t="str">
        <f>IF(ISBLANK('LISTA GESTANTE DO GOOGLE FORMS'!$R24),"",('LISTA GESTANTE DO GOOGLE FORMS'!$R24))</f>
        <v>23 Bairro</v>
      </c>
      <c r="R24" s="49" t="str">
        <f>IF(ISBLANK('LISTA GESTANTE DO GOOGLE FORMS'!$S24),"",('LISTA GESTANTE DO GOOGLE FORMS'!$S24))</f>
        <v>23 cidade</v>
      </c>
      <c r="S24" s="49" t="str">
        <f>IF(ISBLANK('LISTA GESTANTE DO GOOGLE FORMS'!$T24),"",('LISTA GESTANTE DO GOOGLE FORMS'!$T24))</f>
        <v>23 nome do pai</v>
      </c>
      <c r="T24" s="48" t="str">
        <f>IF(ISBLANK('LISTA GESTANTE DO GOOGLE FORMS'!$U24),"",('LISTA GESTANTE DO GOOGLE FORMS'!$U24))</f>
        <v>23 NP</v>
      </c>
      <c r="U24" s="48" t="str">
        <f>IF(ISBLANK('LISTA GESTANTE DO GOOGLE FORMS'!$V24),"",('LISTA GESTANTE DO GOOGLE FORMS'!$V24))</f>
        <v>23 Atendim</v>
      </c>
      <c r="V24" s="48" t="str">
        <f>IF(ISBLANK('LISTA GESTANTE DO GOOGLE FORMS'!$W24),"",('LISTA GESTANTE DO GOOGLE FORMS'!$W24))</f>
        <v>23 Beneficio</v>
      </c>
      <c r="W24" s="108" t="str">
        <f>IF(ISBLANK('LISTA GESTANTE DO GOOGLE FORMS'!$X24),"",('LISTA GESTANTE DO GOOGLE FORMS'!$X24))</f>
        <v>23 email</v>
      </c>
      <c r="X24" s="49" t="str">
        <f>IF(ISBLANK('LISTA GESTANTE DO GOOGLE FORMS'!$Y24),"",('LISTA GESTANTE DO GOOGLE FORMS'!$Y24))</f>
        <v>23 joao</v>
      </c>
    </row>
    <row r="25" spans="1:35" ht="17.100000000000001" customHeight="1" thickBot="1" x14ac:dyDescent="0.3">
      <c r="A25" s="39">
        <f t="shared" si="0"/>
        <v>24</v>
      </c>
      <c r="B25" s="92">
        <f>IF(ISBLANK('LISTA GESTANTE DO GOOGLE FORMS'!$C25),"",('LISTA GESTANTE DO GOOGLE FORMS'!$C25))</f>
        <v>24</v>
      </c>
      <c r="C25" s="49" t="str">
        <f>IF(ISBLANK('LISTA GESTANTE DO GOOGLE FORMS'!$D25),"",('LISTA GESTANTE DO GOOGLE FORMS'!$D25))</f>
        <v>24 nome da gestante</v>
      </c>
      <c r="D25" s="48" t="str">
        <f>IF(ISBLANK('LISTA GESTANTE DO GOOGLE FORMS'!$E25),"",('LISTA GESTANTE DO GOOGLE FORMS'!$E25))</f>
        <v>24 telefone</v>
      </c>
      <c r="E25" s="48" t="str">
        <f>IF(ISBLANK('LISTA GESTANTE DO GOOGLE FORMS'!$F25),"",('LISTA GESTANTE DO GOOGLE FORMS'!$F25))</f>
        <v>24 gest</v>
      </c>
      <c r="F25" s="51" t="str">
        <f>IF(ISBLANK('LISTA GESTANTE DO GOOGLE FORMS'!$G25),"",('LISTA GESTANTE DO GOOGLE FORMS'!$G25))</f>
        <v>24 parto</v>
      </c>
      <c r="G25" s="48" t="str">
        <f>IF(ISBLANK('LISTA GESTANTE DO GOOGLE FORMS'!$H25),"",('LISTA GESTANTE DO GOOGLE FORMS'!$H25))</f>
        <v>24 sexo</v>
      </c>
      <c r="H25" s="48" t="str">
        <f>IF(ISBLANK('LISTA GESTANTE DO GOOGLE FORMS'!$I25),"",('LISTA GESTANTE DO GOOGLE FORMS'!$I25))</f>
        <v>24 cpf</v>
      </c>
      <c r="I25" s="48" t="str">
        <f>IF(ISBLANK('LISTA GESTANTE DO GOOGLE FORMS'!$J25),"",('LISTA GESTANTE DO GOOGLE FORMS'!$J25))</f>
        <v>24 identidade</v>
      </c>
      <c r="J25" s="51" t="str">
        <f>IF(ISBLANK('LISTA GESTANTE DO GOOGLE FORMS'!$K25),"",('LISTA GESTANTE DO GOOGLE FORMS'!$K25))</f>
        <v>24 D Nascim</v>
      </c>
      <c r="K25" s="48" t="str">
        <f>IF(ISBLANK('LISTA GESTANTE DO GOOGLE FORMS'!$L25),"",('LISTA GESTANTE DO GOOGLE FORMS'!$L25))</f>
        <v>24 idad</v>
      </c>
      <c r="L25" s="48" t="str">
        <f>IF(ISBLANK('LISTA GESTANTE DO GOOGLE FORMS'!$M25),"",('LISTA GESTANTE DO GOOGLE FORMS'!$M25))</f>
        <v>24 trab</v>
      </c>
      <c r="M25" s="48" t="str">
        <f>IF(ISBLANK('LISTA GESTANTE DO GOOGLE FORMS'!$N25),"",('LISTA GESTANTE DO GOOGLE FORMS'!$N25))</f>
        <v>24 Est Civil</v>
      </c>
      <c r="N25" s="48" t="str">
        <f>IF(ISBLANK('LISTA GESTANTE DO GOOGLE FORMS'!$O25),"",('LISTA GESTANTE DO GOOGLE FORMS'!$O25))</f>
        <v>24 Religiao</v>
      </c>
      <c r="O25" s="48" t="str">
        <f>IF(ISBLANK('LISTA GESTANTE DO GOOGLE FORMS'!$P25),"",('LISTA GESTANTE DO GOOGLE FORMS'!$P25))</f>
        <v>24 Observações</v>
      </c>
      <c r="P25" s="49" t="str">
        <f>IF(ISBLANK('LISTA GESTANTE DO GOOGLE FORMS'!$Q25),"",('LISTA GESTANTE DO GOOGLE FORMS'!$Q25))</f>
        <v>24 Endereço</v>
      </c>
      <c r="Q25" s="49" t="str">
        <f>IF(ISBLANK('LISTA GESTANTE DO GOOGLE FORMS'!$R25),"",('LISTA GESTANTE DO GOOGLE FORMS'!$R25))</f>
        <v>24 Bairro</v>
      </c>
      <c r="R25" s="49" t="str">
        <f>IF(ISBLANK('LISTA GESTANTE DO GOOGLE FORMS'!$S25),"",('LISTA GESTANTE DO GOOGLE FORMS'!$S25))</f>
        <v>24 cidade</v>
      </c>
      <c r="S25" s="49" t="str">
        <f>IF(ISBLANK('LISTA GESTANTE DO GOOGLE FORMS'!$T25),"",('LISTA GESTANTE DO GOOGLE FORMS'!$T25))</f>
        <v>24 nome do pai</v>
      </c>
      <c r="T25" s="48" t="str">
        <f>IF(ISBLANK('LISTA GESTANTE DO GOOGLE FORMS'!$U25),"",('LISTA GESTANTE DO GOOGLE FORMS'!$U25))</f>
        <v>24 NP</v>
      </c>
      <c r="U25" s="48" t="str">
        <f>IF(ISBLANK('LISTA GESTANTE DO GOOGLE FORMS'!$V25),"",('LISTA GESTANTE DO GOOGLE FORMS'!$V25))</f>
        <v>24 Atendim</v>
      </c>
      <c r="V25" s="48" t="str">
        <f>IF(ISBLANK('LISTA GESTANTE DO GOOGLE FORMS'!$W25),"",('LISTA GESTANTE DO GOOGLE FORMS'!$W25))</f>
        <v>24 Beneficio</v>
      </c>
      <c r="W25" s="108" t="str">
        <f>IF(ISBLANK('LISTA GESTANTE DO GOOGLE FORMS'!$X25),"",('LISTA GESTANTE DO GOOGLE FORMS'!$X25))</f>
        <v>24 email</v>
      </c>
      <c r="X25" s="49" t="str">
        <f>IF(ISBLANK('LISTA GESTANTE DO GOOGLE FORMS'!$Y25),"",('LISTA GESTANTE DO GOOGLE FORMS'!$Y25))</f>
        <v>24 joao</v>
      </c>
      <c r="AI25">
        <v>0</v>
      </c>
    </row>
    <row r="26" spans="1:35" ht="17.100000000000001" customHeight="1" thickBot="1" x14ac:dyDescent="0.3">
      <c r="A26" s="39">
        <f t="shared" si="0"/>
        <v>25</v>
      </c>
      <c r="B26" s="92">
        <f>IF(ISBLANK('LISTA GESTANTE DO GOOGLE FORMS'!$C26),"",('LISTA GESTANTE DO GOOGLE FORMS'!$C26))</f>
        <v>25</v>
      </c>
      <c r="C26" s="49" t="str">
        <f>IF(ISBLANK('LISTA GESTANTE DO GOOGLE FORMS'!$D26),"",('LISTA GESTANTE DO GOOGLE FORMS'!$D26))</f>
        <v>25 nome da gestante</v>
      </c>
      <c r="D26" s="48" t="str">
        <f>IF(ISBLANK('LISTA GESTANTE DO GOOGLE FORMS'!$E26),"",('LISTA GESTANTE DO GOOGLE FORMS'!$E26))</f>
        <v>25 telefone</v>
      </c>
      <c r="E26" s="48" t="str">
        <f>IF(ISBLANK('LISTA GESTANTE DO GOOGLE FORMS'!$F26),"",('LISTA GESTANTE DO GOOGLE FORMS'!$F26))</f>
        <v>25 gest</v>
      </c>
      <c r="F26" s="51" t="str">
        <f>IF(ISBLANK('LISTA GESTANTE DO GOOGLE FORMS'!$G26),"",('LISTA GESTANTE DO GOOGLE FORMS'!$G26))</f>
        <v>25 parto</v>
      </c>
      <c r="G26" s="48" t="str">
        <f>IF(ISBLANK('LISTA GESTANTE DO GOOGLE FORMS'!$H26),"",('LISTA GESTANTE DO GOOGLE FORMS'!$H26))</f>
        <v>25 sexo</v>
      </c>
      <c r="H26" s="48" t="str">
        <f>IF(ISBLANK('LISTA GESTANTE DO GOOGLE FORMS'!$I26),"",('LISTA GESTANTE DO GOOGLE FORMS'!$I26))</f>
        <v>25 cpf</v>
      </c>
      <c r="I26" s="48" t="str">
        <f>IF(ISBLANK('LISTA GESTANTE DO GOOGLE FORMS'!$J26),"",('LISTA GESTANTE DO GOOGLE FORMS'!$J26))</f>
        <v>25 identidade</v>
      </c>
      <c r="J26" s="51" t="str">
        <f>IF(ISBLANK('LISTA GESTANTE DO GOOGLE FORMS'!$K26),"",('LISTA GESTANTE DO GOOGLE FORMS'!$K26))</f>
        <v>25 D Nascim</v>
      </c>
      <c r="K26" s="48" t="str">
        <f>IF(ISBLANK('LISTA GESTANTE DO GOOGLE FORMS'!$L26),"",('LISTA GESTANTE DO GOOGLE FORMS'!$L26))</f>
        <v>25 idad</v>
      </c>
      <c r="L26" s="48" t="str">
        <f>IF(ISBLANK('LISTA GESTANTE DO GOOGLE FORMS'!$M26),"",('LISTA GESTANTE DO GOOGLE FORMS'!$M26))</f>
        <v>25 trab</v>
      </c>
      <c r="M26" s="48" t="str">
        <f>IF(ISBLANK('LISTA GESTANTE DO GOOGLE FORMS'!$N26),"",('LISTA GESTANTE DO GOOGLE FORMS'!$N26))</f>
        <v>25 Est Civil</v>
      </c>
      <c r="N26" s="48" t="str">
        <f>IF(ISBLANK('LISTA GESTANTE DO GOOGLE FORMS'!$O26),"",('LISTA GESTANTE DO GOOGLE FORMS'!$O26))</f>
        <v>25 Religiao</v>
      </c>
      <c r="O26" s="48" t="str">
        <f>IF(ISBLANK('LISTA GESTANTE DO GOOGLE FORMS'!$P26),"",('LISTA GESTANTE DO GOOGLE FORMS'!$P26))</f>
        <v>25 Observações</v>
      </c>
      <c r="P26" s="49" t="str">
        <f>IF(ISBLANK('LISTA GESTANTE DO GOOGLE FORMS'!$Q26),"",('LISTA GESTANTE DO GOOGLE FORMS'!$Q26))</f>
        <v>25 Endereço</v>
      </c>
      <c r="Q26" s="49" t="str">
        <f>IF(ISBLANK('LISTA GESTANTE DO GOOGLE FORMS'!$R26),"",('LISTA GESTANTE DO GOOGLE FORMS'!$R26))</f>
        <v>25 Bairro</v>
      </c>
      <c r="R26" s="49" t="str">
        <f>IF(ISBLANK('LISTA GESTANTE DO GOOGLE FORMS'!$S26),"",('LISTA GESTANTE DO GOOGLE FORMS'!$S26))</f>
        <v>25 cidade</v>
      </c>
      <c r="S26" s="49" t="str">
        <f>IF(ISBLANK('LISTA GESTANTE DO GOOGLE FORMS'!$T26),"",('LISTA GESTANTE DO GOOGLE FORMS'!$T26))</f>
        <v>25 nome do pai</v>
      </c>
      <c r="T26" s="48" t="str">
        <f>IF(ISBLANK('LISTA GESTANTE DO GOOGLE FORMS'!$U26),"",('LISTA GESTANTE DO GOOGLE FORMS'!$U26))</f>
        <v>25 NP</v>
      </c>
      <c r="U26" s="48" t="str">
        <f>IF(ISBLANK('LISTA GESTANTE DO GOOGLE FORMS'!$V26),"",('LISTA GESTANTE DO GOOGLE FORMS'!$V26))</f>
        <v>25 Atendim</v>
      </c>
      <c r="V26" s="48" t="str">
        <f>IF(ISBLANK('LISTA GESTANTE DO GOOGLE FORMS'!$W26),"",('LISTA GESTANTE DO GOOGLE FORMS'!$W26))</f>
        <v>25 Beneficio</v>
      </c>
      <c r="W26" s="108" t="str">
        <f>IF(ISBLANK('LISTA GESTANTE DO GOOGLE FORMS'!$X26),"",('LISTA GESTANTE DO GOOGLE FORMS'!$X26))</f>
        <v>25 email</v>
      </c>
      <c r="X26" s="49" t="str">
        <f>IF(ISBLANK('LISTA GESTANTE DO GOOGLE FORMS'!$Y26),"",('LISTA GESTANTE DO GOOGLE FORMS'!$Y26))</f>
        <v>25 joao</v>
      </c>
    </row>
    <row r="27" spans="1:35" ht="17.100000000000001" customHeight="1" thickBot="1" x14ac:dyDescent="0.3">
      <c r="A27" s="39">
        <f t="shared" si="0"/>
        <v>26</v>
      </c>
      <c r="B27" s="92">
        <f>IF(ISBLANK('LISTA GESTANTE DO GOOGLE FORMS'!$C27),"",('LISTA GESTANTE DO GOOGLE FORMS'!$C27))</f>
        <v>26</v>
      </c>
      <c r="C27" s="49" t="str">
        <f>IF(ISBLANK('LISTA GESTANTE DO GOOGLE FORMS'!$D27),"",('LISTA GESTANTE DO GOOGLE FORMS'!$D27))</f>
        <v>26 nome da gestante</v>
      </c>
      <c r="D27" s="48" t="str">
        <f>IF(ISBLANK('LISTA GESTANTE DO GOOGLE FORMS'!$E27),"",('LISTA GESTANTE DO GOOGLE FORMS'!$E27))</f>
        <v>26 telefone</v>
      </c>
      <c r="E27" s="48" t="str">
        <f>IF(ISBLANK('LISTA GESTANTE DO GOOGLE FORMS'!$F27),"",('LISTA GESTANTE DO GOOGLE FORMS'!$F27))</f>
        <v>26 gest</v>
      </c>
      <c r="F27" s="51" t="str">
        <f>IF(ISBLANK('LISTA GESTANTE DO GOOGLE FORMS'!$G27),"",('LISTA GESTANTE DO GOOGLE FORMS'!$G27))</f>
        <v>26 parto</v>
      </c>
      <c r="G27" s="48" t="str">
        <f>IF(ISBLANK('LISTA GESTANTE DO GOOGLE FORMS'!$H27),"",('LISTA GESTANTE DO GOOGLE FORMS'!$H27))</f>
        <v>26 sexo</v>
      </c>
      <c r="H27" s="48" t="str">
        <f>IF(ISBLANK('LISTA GESTANTE DO GOOGLE FORMS'!$I27),"",('LISTA GESTANTE DO GOOGLE FORMS'!$I27))</f>
        <v>26 cpf</v>
      </c>
      <c r="I27" s="48" t="str">
        <f>IF(ISBLANK('LISTA GESTANTE DO GOOGLE FORMS'!$J27),"",('LISTA GESTANTE DO GOOGLE FORMS'!$J27))</f>
        <v>26 identidade</v>
      </c>
      <c r="J27" s="51" t="str">
        <f>IF(ISBLANK('LISTA GESTANTE DO GOOGLE FORMS'!$K27),"",('LISTA GESTANTE DO GOOGLE FORMS'!$K27))</f>
        <v>26 D Nascim</v>
      </c>
      <c r="K27" s="48" t="str">
        <f>IF(ISBLANK('LISTA GESTANTE DO GOOGLE FORMS'!$L27),"",('LISTA GESTANTE DO GOOGLE FORMS'!$L27))</f>
        <v>26 idad</v>
      </c>
      <c r="L27" s="48" t="str">
        <f>IF(ISBLANK('LISTA GESTANTE DO GOOGLE FORMS'!$M27),"",('LISTA GESTANTE DO GOOGLE FORMS'!$M27))</f>
        <v>26 trab</v>
      </c>
      <c r="M27" s="48" t="str">
        <f>IF(ISBLANK('LISTA GESTANTE DO GOOGLE FORMS'!$N27),"",('LISTA GESTANTE DO GOOGLE FORMS'!$N27))</f>
        <v>26 Est Civil</v>
      </c>
      <c r="N27" s="48" t="str">
        <f>IF(ISBLANK('LISTA GESTANTE DO GOOGLE FORMS'!$O27),"",('LISTA GESTANTE DO GOOGLE FORMS'!$O27))</f>
        <v>26 Religiao</v>
      </c>
      <c r="O27" s="48" t="str">
        <f>IF(ISBLANK('LISTA GESTANTE DO GOOGLE FORMS'!$P27),"",('LISTA GESTANTE DO GOOGLE FORMS'!$P27))</f>
        <v>26 Observações</v>
      </c>
      <c r="P27" s="49" t="str">
        <f>IF(ISBLANK('LISTA GESTANTE DO GOOGLE FORMS'!$Q27),"",('LISTA GESTANTE DO GOOGLE FORMS'!$Q27))</f>
        <v>26 Endereço</v>
      </c>
      <c r="Q27" s="49" t="str">
        <f>IF(ISBLANK('LISTA GESTANTE DO GOOGLE FORMS'!$R27),"",('LISTA GESTANTE DO GOOGLE FORMS'!$R27))</f>
        <v>26 Bairro</v>
      </c>
      <c r="R27" s="49" t="str">
        <f>IF(ISBLANK('LISTA GESTANTE DO GOOGLE FORMS'!$S27),"",('LISTA GESTANTE DO GOOGLE FORMS'!$S27))</f>
        <v>26 cidade</v>
      </c>
      <c r="S27" s="49" t="str">
        <f>IF(ISBLANK('LISTA GESTANTE DO GOOGLE FORMS'!$T27),"",('LISTA GESTANTE DO GOOGLE FORMS'!$T27))</f>
        <v>26 nome do pai</v>
      </c>
      <c r="T27" s="48" t="str">
        <f>IF(ISBLANK('LISTA GESTANTE DO GOOGLE FORMS'!$U27),"",('LISTA GESTANTE DO GOOGLE FORMS'!$U27))</f>
        <v>26 NP</v>
      </c>
      <c r="U27" s="48" t="str">
        <f>IF(ISBLANK('LISTA GESTANTE DO GOOGLE FORMS'!$V27),"",('LISTA GESTANTE DO GOOGLE FORMS'!$V27))</f>
        <v>26 Atendim</v>
      </c>
      <c r="V27" s="48" t="str">
        <f>IF(ISBLANK('LISTA GESTANTE DO GOOGLE FORMS'!$W27),"",('LISTA GESTANTE DO GOOGLE FORMS'!$W27))</f>
        <v>26 Beneficio</v>
      </c>
      <c r="W27" s="108" t="str">
        <f>IF(ISBLANK('LISTA GESTANTE DO GOOGLE FORMS'!$X27),"",('LISTA GESTANTE DO GOOGLE FORMS'!$X27))</f>
        <v>26 email</v>
      </c>
      <c r="X27" s="49" t="str">
        <f>IF(ISBLANK('LISTA GESTANTE DO GOOGLE FORMS'!$Y27),"",('LISTA GESTANTE DO GOOGLE FORMS'!$Y27))</f>
        <v>26 joao</v>
      </c>
    </row>
    <row r="28" spans="1:35" ht="17.100000000000001" customHeight="1" thickBot="1" x14ac:dyDescent="0.3">
      <c r="A28" s="39">
        <f t="shared" si="0"/>
        <v>27</v>
      </c>
      <c r="B28" s="92">
        <f>IF(ISBLANK('LISTA GESTANTE DO GOOGLE FORMS'!$C28),"",('LISTA GESTANTE DO GOOGLE FORMS'!$C28))</f>
        <v>27</v>
      </c>
      <c r="C28" s="49" t="str">
        <f>IF(ISBLANK('LISTA GESTANTE DO GOOGLE FORMS'!$D28),"",('LISTA GESTANTE DO GOOGLE FORMS'!$D28))</f>
        <v>27 nome da gestante</v>
      </c>
      <c r="D28" s="48" t="str">
        <f>IF(ISBLANK('LISTA GESTANTE DO GOOGLE FORMS'!$E28),"",('LISTA GESTANTE DO GOOGLE FORMS'!$E28))</f>
        <v>27 telefone</v>
      </c>
      <c r="E28" s="48" t="str">
        <f>IF(ISBLANK('LISTA GESTANTE DO GOOGLE FORMS'!$F28),"",('LISTA GESTANTE DO GOOGLE FORMS'!$F28))</f>
        <v>27 gest</v>
      </c>
      <c r="F28" s="51" t="str">
        <f>IF(ISBLANK('LISTA GESTANTE DO GOOGLE FORMS'!$G28),"",('LISTA GESTANTE DO GOOGLE FORMS'!$G28))</f>
        <v>27 parto</v>
      </c>
      <c r="G28" s="48" t="str">
        <f>IF(ISBLANK('LISTA GESTANTE DO GOOGLE FORMS'!$H28),"",('LISTA GESTANTE DO GOOGLE FORMS'!$H28))</f>
        <v>27 sexo</v>
      </c>
      <c r="H28" s="48" t="str">
        <f>IF(ISBLANK('LISTA GESTANTE DO GOOGLE FORMS'!$I28),"",('LISTA GESTANTE DO GOOGLE FORMS'!$I28))</f>
        <v>27 cpf</v>
      </c>
      <c r="I28" s="48" t="str">
        <f>IF(ISBLANK('LISTA GESTANTE DO GOOGLE FORMS'!$J28),"",('LISTA GESTANTE DO GOOGLE FORMS'!$J28))</f>
        <v>27 identidade</v>
      </c>
      <c r="J28" s="51" t="str">
        <f>IF(ISBLANK('LISTA GESTANTE DO GOOGLE FORMS'!$K28),"",('LISTA GESTANTE DO GOOGLE FORMS'!$K28))</f>
        <v>27 D Nascim</v>
      </c>
      <c r="K28" s="48" t="str">
        <f>IF(ISBLANK('LISTA GESTANTE DO GOOGLE FORMS'!$L28),"",('LISTA GESTANTE DO GOOGLE FORMS'!$L28))</f>
        <v>27 idad</v>
      </c>
      <c r="L28" s="48" t="str">
        <f>IF(ISBLANK('LISTA GESTANTE DO GOOGLE FORMS'!$M28),"",('LISTA GESTANTE DO GOOGLE FORMS'!$M28))</f>
        <v>27 trab</v>
      </c>
      <c r="M28" s="48" t="str">
        <f>IF(ISBLANK('LISTA GESTANTE DO GOOGLE FORMS'!$N28),"",('LISTA GESTANTE DO GOOGLE FORMS'!$N28))</f>
        <v>27 Est Civil</v>
      </c>
      <c r="N28" s="48" t="str">
        <f>IF(ISBLANK('LISTA GESTANTE DO GOOGLE FORMS'!$O28),"",('LISTA GESTANTE DO GOOGLE FORMS'!$O28))</f>
        <v>27 Religiao</v>
      </c>
      <c r="O28" s="48" t="str">
        <f>IF(ISBLANK('LISTA GESTANTE DO GOOGLE FORMS'!$P28),"",('LISTA GESTANTE DO GOOGLE FORMS'!$P28))</f>
        <v>27 Observações</v>
      </c>
      <c r="P28" s="49" t="str">
        <f>IF(ISBLANK('LISTA GESTANTE DO GOOGLE FORMS'!$Q28),"",('LISTA GESTANTE DO GOOGLE FORMS'!$Q28))</f>
        <v>27 Endereço</v>
      </c>
      <c r="Q28" s="49" t="str">
        <f>IF(ISBLANK('LISTA GESTANTE DO GOOGLE FORMS'!$R28),"",('LISTA GESTANTE DO GOOGLE FORMS'!$R28))</f>
        <v>27 Bairro</v>
      </c>
      <c r="R28" s="49" t="str">
        <f>IF(ISBLANK('LISTA GESTANTE DO GOOGLE FORMS'!$S28),"",('LISTA GESTANTE DO GOOGLE FORMS'!$S28))</f>
        <v>27 cidade</v>
      </c>
      <c r="S28" s="49" t="str">
        <f>IF(ISBLANK('LISTA GESTANTE DO GOOGLE FORMS'!$T28),"",('LISTA GESTANTE DO GOOGLE FORMS'!$T28))</f>
        <v>27 nome do pai</v>
      </c>
      <c r="T28" s="48" t="str">
        <f>IF(ISBLANK('LISTA GESTANTE DO GOOGLE FORMS'!$U28),"",('LISTA GESTANTE DO GOOGLE FORMS'!$U28))</f>
        <v>27 NP</v>
      </c>
      <c r="U28" s="48" t="str">
        <f>IF(ISBLANK('LISTA GESTANTE DO GOOGLE FORMS'!$V28),"",('LISTA GESTANTE DO GOOGLE FORMS'!$V28))</f>
        <v>27 Atendim</v>
      </c>
      <c r="V28" s="48" t="str">
        <f>IF(ISBLANK('LISTA GESTANTE DO GOOGLE FORMS'!$W28),"",('LISTA GESTANTE DO GOOGLE FORMS'!$W28))</f>
        <v>27 Beneficio</v>
      </c>
      <c r="W28" s="108" t="str">
        <f>IF(ISBLANK('LISTA GESTANTE DO GOOGLE FORMS'!$X28),"",('LISTA GESTANTE DO GOOGLE FORMS'!$X28))</f>
        <v>27 email</v>
      </c>
      <c r="X28" s="49" t="str">
        <f>IF(ISBLANK('LISTA GESTANTE DO GOOGLE FORMS'!$Y28),"",('LISTA GESTANTE DO GOOGLE FORMS'!$Y28))</f>
        <v>27 joao</v>
      </c>
    </row>
    <row r="29" spans="1:35" ht="17.100000000000001" customHeight="1" thickBot="1" x14ac:dyDescent="0.3">
      <c r="A29" s="39">
        <f t="shared" si="0"/>
        <v>28</v>
      </c>
      <c r="B29" s="92">
        <f>IF(ISBLANK('LISTA GESTANTE DO GOOGLE FORMS'!$C29),"",('LISTA GESTANTE DO GOOGLE FORMS'!$C29))</f>
        <v>28</v>
      </c>
      <c r="C29" s="49" t="str">
        <f>IF(ISBLANK('LISTA GESTANTE DO GOOGLE FORMS'!$D29),"",('LISTA GESTANTE DO GOOGLE FORMS'!$D29))</f>
        <v>28 nome da gestante</v>
      </c>
      <c r="D29" s="48" t="str">
        <f>IF(ISBLANK('LISTA GESTANTE DO GOOGLE FORMS'!$E29),"",('LISTA GESTANTE DO GOOGLE FORMS'!$E29))</f>
        <v>28 telefone</v>
      </c>
      <c r="E29" s="48" t="str">
        <f>IF(ISBLANK('LISTA GESTANTE DO GOOGLE FORMS'!$F29),"",('LISTA GESTANTE DO GOOGLE FORMS'!$F29))</f>
        <v>28 gest</v>
      </c>
      <c r="F29" s="51" t="str">
        <f>IF(ISBLANK('LISTA GESTANTE DO GOOGLE FORMS'!$G29),"",('LISTA GESTANTE DO GOOGLE FORMS'!$G29))</f>
        <v>28 parto</v>
      </c>
      <c r="G29" s="48" t="str">
        <f>IF(ISBLANK('LISTA GESTANTE DO GOOGLE FORMS'!$H29),"",('LISTA GESTANTE DO GOOGLE FORMS'!$H29))</f>
        <v>28 sexo</v>
      </c>
      <c r="H29" s="48" t="str">
        <f>IF(ISBLANK('LISTA GESTANTE DO GOOGLE FORMS'!$I29),"",('LISTA GESTANTE DO GOOGLE FORMS'!$I29))</f>
        <v>28 cpf</v>
      </c>
      <c r="I29" s="48" t="str">
        <f>IF(ISBLANK('LISTA GESTANTE DO GOOGLE FORMS'!$J29),"",('LISTA GESTANTE DO GOOGLE FORMS'!$J29))</f>
        <v>28 identidade</v>
      </c>
      <c r="J29" s="51" t="str">
        <f>IF(ISBLANK('LISTA GESTANTE DO GOOGLE FORMS'!$K29),"",('LISTA GESTANTE DO GOOGLE FORMS'!$K29))</f>
        <v>28 D Nascim</v>
      </c>
      <c r="K29" s="48" t="str">
        <f>IF(ISBLANK('LISTA GESTANTE DO GOOGLE FORMS'!$L29),"",('LISTA GESTANTE DO GOOGLE FORMS'!$L29))</f>
        <v>28 idad</v>
      </c>
      <c r="L29" s="48" t="str">
        <f>IF(ISBLANK('LISTA GESTANTE DO GOOGLE FORMS'!$M29),"",('LISTA GESTANTE DO GOOGLE FORMS'!$M29))</f>
        <v>28 trab</v>
      </c>
      <c r="M29" s="48" t="str">
        <f>IF(ISBLANK('LISTA GESTANTE DO GOOGLE FORMS'!$N29),"",('LISTA GESTANTE DO GOOGLE FORMS'!$N29))</f>
        <v>28 Est Civil</v>
      </c>
      <c r="N29" s="48" t="str">
        <f>IF(ISBLANK('LISTA GESTANTE DO GOOGLE FORMS'!$O29),"",('LISTA GESTANTE DO GOOGLE FORMS'!$O29))</f>
        <v>28 Religiao</v>
      </c>
      <c r="O29" s="48" t="str">
        <f>IF(ISBLANK('LISTA GESTANTE DO GOOGLE FORMS'!$P29),"",('LISTA GESTANTE DO GOOGLE FORMS'!$P29))</f>
        <v>28 Observações</v>
      </c>
      <c r="P29" s="49" t="str">
        <f>IF(ISBLANK('LISTA GESTANTE DO GOOGLE FORMS'!$Q29),"",('LISTA GESTANTE DO GOOGLE FORMS'!$Q29))</f>
        <v>28 Endereço</v>
      </c>
      <c r="Q29" s="49" t="str">
        <f>IF(ISBLANK('LISTA GESTANTE DO GOOGLE FORMS'!$R29),"",('LISTA GESTANTE DO GOOGLE FORMS'!$R29))</f>
        <v>28 Bairro</v>
      </c>
      <c r="R29" s="49" t="str">
        <f>IF(ISBLANK('LISTA GESTANTE DO GOOGLE FORMS'!$S29),"",('LISTA GESTANTE DO GOOGLE FORMS'!$S29))</f>
        <v>28 cidade</v>
      </c>
      <c r="S29" s="49" t="str">
        <f>IF(ISBLANK('LISTA GESTANTE DO GOOGLE FORMS'!$T29),"",('LISTA GESTANTE DO GOOGLE FORMS'!$T29))</f>
        <v>28 nome do pai</v>
      </c>
      <c r="T29" s="48" t="str">
        <f>IF(ISBLANK('LISTA GESTANTE DO GOOGLE FORMS'!$U29),"",('LISTA GESTANTE DO GOOGLE FORMS'!$U29))</f>
        <v>28 NP</v>
      </c>
      <c r="U29" s="48" t="str">
        <f>IF(ISBLANK('LISTA GESTANTE DO GOOGLE FORMS'!$V29),"",('LISTA GESTANTE DO GOOGLE FORMS'!$V29))</f>
        <v>28 Atendim</v>
      </c>
      <c r="V29" s="48" t="str">
        <f>IF(ISBLANK('LISTA GESTANTE DO GOOGLE FORMS'!$W29),"",('LISTA GESTANTE DO GOOGLE FORMS'!$W29))</f>
        <v>28 Beneficio</v>
      </c>
      <c r="W29" s="108" t="str">
        <f>IF(ISBLANK('LISTA GESTANTE DO GOOGLE FORMS'!$X29),"",('LISTA GESTANTE DO GOOGLE FORMS'!$X29))</f>
        <v>28 email</v>
      </c>
      <c r="X29" s="49" t="str">
        <f>IF(ISBLANK('LISTA GESTANTE DO GOOGLE FORMS'!$Y29),"",('LISTA GESTANTE DO GOOGLE FORMS'!$Y29))</f>
        <v>28 joao</v>
      </c>
    </row>
    <row r="30" spans="1:35" ht="17.100000000000001" customHeight="1" thickBot="1" x14ac:dyDescent="0.3">
      <c r="A30" s="39">
        <f t="shared" si="0"/>
        <v>29</v>
      </c>
      <c r="B30" s="92">
        <f>IF(ISBLANK('LISTA GESTANTE DO GOOGLE FORMS'!$C30),"",('LISTA GESTANTE DO GOOGLE FORMS'!$C30))</f>
        <v>29</v>
      </c>
      <c r="C30" s="49" t="str">
        <f>IF(ISBLANK('LISTA GESTANTE DO GOOGLE FORMS'!$D30),"",('LISTA GESTANTE DO GOOGLE FORMS'!$D30))</f>
        <v>29 nome da gestante</v>
      </c>
      <c r="D30" s="48" t="str">
        <f>IF(ISBLANK('LISTA GESTANTE DO GOOGLE FORMS'!$E30),"",('LISTA GESTANTE DO GOOGLE FORMS'!$E30))</f>
        <v>29 telefone</v>
      </c>
      <c r="E30" s="48" t="str">
        <f>IF(ISBLANK('LISTA GESTANTE DO GOOGLE FORMS'!$F30),"",('LISTA GESTANTE DO GOOGLE FORMS'!$F30))</f>
        <v>29 gest</v>
      </c>
      <c r="F30" s="51" t="str">
        <f>IF(ISBLANK('LISTA GESTANTE DO GOOGLE FORMS'!$G30),"",('LISTA GESTANTE DO GOOGLE FORMS'!$G30))</f>
        <v>29 parto</v>
      </c>
      <c r="G30" s="48" t="str">
        <f>IF(ISBLANK('LISTA GESTANTE DO GOOGLE FORMS'!$H30),"",('LISTA GESTANTE DO GOOGLE FORMS'!$H30))</f>
        <v>29 sexo</v>
      </c>
      <c r="H30" s="48" t="str">
        <f>IF(ISBLANK('LISTA GESTANTE DO GOOGLE FORMS'!$I30),"",('LISTA GESTANTE DO GOOGLE FORMS'!$I30))</f>
        <v>29 cpf</v>
      </c>
      <c r="I30" s="48" t="str">
        <f>IF(ISBLANK('LISTA GESTANTE DO GOOGLE FORMS'!$J30),"",('LISTA GESTANTE DO GOOGLE FORMS'!$J30))</f>
        <v>29 identidade</v>
      </c>
      <c r="J30" s="51" t="str">
        <f>IF(ISBLANK('LISTA GESTANTE DO GOOGLE FORMS'!$K30),"",('LISTA GESTANTE DO GOOGLE FORMS'!$K30))</f>
        <v>29 D Nascim</v>
      </c>
      <c r="K30" s="48" t="str">
        <f>IF(ISBLANK('LISTA GESTANTE DO GOOGLE FORMS'!$L30),"",('LISTA GESTANTE DO GOOGLE FORMS'!$L30))</f>
        <v>29 idad</v>
      </c>
      <c r="L30" s="48" t="str">
        <f>IF(ISBLANK('LISTA GESTANTE DO GOOGLE FORMS'!$M30),"",('LISTA GESTANTE DO GOOGLE FORMS'!$M30))</f>
        <v>29 trab</v>
      </c>
      <c r="M30" s="48" t="str">
        <f>IF(ISBLANK('LISTA GESTANTE DO GOOGLE FORMS'!$N30),"",('LISTA GESTANTE DO GOOGLE FORMS'!$N30))</f>
        <v>29 Est Civil</v>
      </c>
      <c r="N30" s="48" t="str">
        <f>IF(ISBLANK('LISTA GESTANTE DO GOOGLE FORMS'!$O30),"",('LISTA GESTANTE DO GOOGLE FORMS'!$O30))</f>
        <v>29 Religiao</v>
      </c>
      <c r="O30" s="48" t="str">
        <f>IF(ISBLANK('LISTA GESTANTE DO GOOGLE FORMS'!$P30),"",('LISTA GESTANTE DO GOOGLE FORMS'!$P30))</f>
        <v>29 Observações</v>
      </c>
      <c r="P30" s="49" t="str">
        <f>IF(ISBLANK('LISTA GESTANTE DO GOOGLE FORMS'!$Q30),"",('LISTA GESTANTE DO GOOGLE FORMS'!$Q30))</f>
        <v>29 Endereço</v>
      </c>
      <c r="Q30" s="49" t="str">
        <f>IF(ISBLANK('LISTA GESTANTE DO GOOGLE FORMS'!$R30),"",('LISTA GESTANTE DO GOOGLE FORMS'!$R30))</f>
        <v>29 Bairro</v>
      </c>
      <c r="R30" s="49" t="str">
        <f>IF(ISBLANK('LISTA GESTANTE DO GOOGLE FORMS'!$S30),"",('LISTA GESTANTE DO GOOGLE FORMS'!$S30))</f>
        <v>29 cidade</v>
      </c>
      <c r="S30" s="49" t="str">
        <f>IF(ISBLANK('LISTA GESTANTE DO GOOGLE FORMS'!$T30),"",('LISTA GESTANTE DO GOOGLE FORMS'!$T30))</f>
        <v>29 nome do pai</v>
      </c>
      <c r="T30" s="48" t="str">
        <f>IF(ISBLANK('LISTA GESTANTE DO GOOGLE FORMS'!$U30),"",('LISTA GESTANTE DO GOOGLE FORMS'!$U30))</f>
        <v>29 NP</v>
      </c>
      <c r="U30" s="48" t="str">
        <f>IF(ISBLANK('LISTA GESTANTE DO GOOGLE FORMS'!$V30),"",('LISTA GESTANTE DO GOOGLE FORMS'!$V30))</f>
        <v>29 Atendim</v>
      </c>
      <c r="V30" s="48" t="str">
        <f>IF(ISBLANK('LISTA GESTANTE DO GOOGLE FORMS'!$W30),"",('LISTA GESTANTE DO GOOGLE FORMS'!$W30))</f>
        <v>29 Beneficio</v>
      </c>
      <c r="W30" s="108" t="str">
        <f>IF(ISBLANK('LISTA GESTANTE DO GOOGLE FORMS'!$X30),"",('LISTA GESTANTE DO GOOGLE FORMS'!$X30))</f>
        <v>29 email</v>
      </c>
      <c r="X30" s="49" t="str">
        <f>IF(ISBLANK('LISTA GESTANTE DO GOOGLE FORMS'!$Y30),"",('LISTA GESTANTE DO GOOGLE FORMS'!$Y30))</f>
        <v>29 joao</v>
      </c>
    </row>
    <row r="31" spans="1:35" ht="17.100000000000001" customHeight="1" thickBot="1" x14ac:dyDescent="0.3">
      <c r="A31" s="39">
        <f t="shared" si="0"/>
        <v>30</v>
      </c>
      <c r="B31" s="92">
        <f>IF(ISBLANK('LISTA GESTANTE DO GOOGLE FORMS'!$C31),"",('LISTA GESTANTE DO GOOGLE FORMS'!$C31))</f>
        <v>30</v>
      </c>
      <c r="C31" s="49" t="str">
        <f>IF(ISBLANK('LISTA GESTANTE DO GOOGLE FORMS'!$D31),"",('LISTA GESTANTE DO GOOGLE FORMS'!$D31))</f>
        <v>30 nome da gestante</v>
      </c>
      <c r="D31" s="48" t="str">
        <f>IF(ISBLANK('LISTA GESTANTE DO GOOGLE FORMS'!$E31),"",('LISTA GESTANTE DO GOOGLE FORMS'!$E31))</f>
        <v>30 telefone</v>
      </c>
      <c r="E31" s="48" t="str">
        <f>IF(ISBLANK('LISTA GESTANTE DO GOOGLE FORMS'!$F31),"",('LISTA GESTANTE DO GOOGLE FORMS'!$F31))</f>
        <v>30 gest</v>
      </c>
      <c r="F31" s="51" t="str">
        <f>IF(ISBLANK('LISTA GESTANTE DO GOOGLE FORMS'!$G31),"",('LISTA GESTANTE DO GOOGLE FORMS'!$G31))</f>
        <v>30 parto</v>
      </c>
      <c r="G31" s="48" t="str">
        <f>IF(ISBLANK('LISTA GESTANTE DO GOOGLE FORMS'!$H31),"",('LISTA GESTANTE DO GOOGLE FORMS'!$H31))</f>
        <v>30 sexo</v>
      </c>
      <c r="H31" s="48" t="str">
        <f>IF(ISBLANK('LISTA GESTANTE DO GOOGLE FORMS'!$I31),"",('LISTA GESTANTE DO GOOGLE FORMS'!$I31))</f>
        <v>30 cpf</v>
      </c>
      <c r="I31" s="48" t="str">
        <f>IF(ISBLANK('LISTA GESTANTE DO GOOGLE FORMS'!$J31),"",('LISTA GESTANTE DO GOOGLE FORMS'!$J31))</f>
        <v>30 identidade</v>
      </c>
      <c r="J31" s="51" t="str">
        <f>IF(ISBLANK('LISTA GESTANTE DO GOOGLE FORMS'!$K31),"",('LISTA GESTANTE DO GOOGLE FORMS'!$K31))</f>
        <v>30 D Nascim</v>
      </c>
      <c r="K31" s="48" t="str">
        <f>IF(ISBLANK('LISTA GESTANTE DO GOOGLE FORMS'!$L31),"",('LISTA GESTANTE DO GOOGLE FORMS'!$L31))</f>
        <v>30 idad</v>
      </c>
      <c r="L31" s="48" t="str">
        <f>IF(ISBLANK('LISTA GESTANTE DO GOOGLE FORMS'!$M31),"",('LISTA GESTANTE DO GOOGLE FORMS'!$M31))</f>
        <v>30 trab</v>
      </c>
      <c r="M31" s="48" t="str">
        <f>IF(ISBLANK('LISTA GESTANTE DO GOOGLE FORMS'!$N31),"",('LISTA GESTANTE DO GOOGLE FORMS'!$N31))</f>
        <v>30 Est Civil</v>
      </c>
      <c r="N31" s="48" t="str">
        <f>IF(ISBLANK('LISTA GESTANTE DO GOOGLE FORMS'!$O31),"",('LISTA GESTANTE DO GOOGLE FORMS'!$O31))</f>
        <v>30 Religiao</v>
      </c>
      <c r="O31" s="48" t="str">
        <f>IF(ISBLANK('LISTA GESTANTE DO GOOGLE FORMS'!$P31),"",('LISTA GESTANTE DO GOOGLE FORMS'!$P31))</f>
        <v>30 Observações</v>
      </c>
      <c r="P31" s="49" t="str">
        <f>IF(ISBLANK('LISTA GESTANTE DO GOOGLE FORMS'!$Q31),"",('LISTA GESTANTE DO GOOGLE FORMS'!$Q31))</f>
        <v>30 Endereço</v>
      </c>
      <c r="Q31" s="49" t="str">
        <f>IF(ISBLANK('LISTA GESTANTE DO GOOGLE FORMS'!$R31),"",('LISTA GESTANTE DO GOOGLE FORMS'!$R31))</f>
        <v>30 Bairro</v>
      </c>
      <c r="R31" s="49" t="str">
        <f>IF(ISBLANK('LISTA GESTANTE DO GOOGLE FORMS'!$S31),"",('LISTA GESTANTE DO GOOGLE FORMS'!$S31))</f>
        <v>30 cidade</v>
      </c>
      <c r="S31" s="49" t="str">
        <f>IF(ISBLANK('LISTA GESTANTE DO GOOGLE FORMS'!$T31),"",('LISTA GESTANTE DO GOOGLE FORMS'!$T31))</f>
        <v>30 nome do pai</v>
      </c>
      <c r="T31" s="48" t="str">
        <f>IF(ISBLANK('LISTA GESTANTE DO GOOGLE FORMS'!$U31),"",('LISTA GESTANTE DO GOOGLE FORMS'!$U31))</f>
        <v>30 NP</v>
      </c>
      <c r="U31" s="48" t="str">
        <f>IF(ISBLANK('LISTA GESTANTE DO GOOGLE FORMS'!$V31),"",('LISTA GESTANTE DO GOOGLE FORMS'!$V31))</f>
        <v>30 Atendim</v>
      </c>
      <c r="V31" s="48" t="str">
        <f>IF(ISBLANK('LISTA GESTANTE DO GOOGLE FORMS'!$W31),"",('LISTA GESTANTE DO GOOGLE FORMS'!$W31))</f>
        <v>30 Beneficio</v>
      </c>
      <c r="W31" s="108" t="str">
        <f>IF(ISBLANK('LISTA GESTANTE DO GOOGLE FORMS'!$X31),"",('LISTA GESTANTE DO GOOGLE FORMS'!$X31))</f>
        <v>30 email</v>
      </c>
      <c r="X31" s="49" t="str">
        <f>IF(ISBLANK('LISTA GESTANTE DO GOOGLE FORMS'!$Y31),"",('LISTA GESTANTE DO GOOGLE FORMS'!$Y31))</f>
        <v>30 joao</v>
      </c>
    </row>
    <row r="32" spans="1:35" ht="17.100000000000001" customHeight="1" thickBot="1" x14ac:dyDescent="0.3">
      <c r="A32" s="39">
        <f t="shared" si="0"/>
        <v>31</v>
      </c>
      <c r="B32" s="92">
        <f>IF(ISBLANK('LISTA GESTANTE DO GOOGLE FORMS'!$C32),"",('LISTA GESTANTE DO GOOGLE FORMS'!$C32))</f>
        <v>31</v>
      </c>
      <c r="C32" s="49" t="str">
        <f>IF(ISBLANK('LISTA GESTANTE DO GOOGLE FORMS'!$D32),"",('LISTA GESTANTE DO GOOGLE FORMS'!$D32))</f>
        <v>31 nome da gestante</v>
      </c>
      <c r="D32" s="48" t="str">
        <f>IF(ISBLANK('LISTA GESTANTE DO GOOGLE FORMS'!$E32),"",('LISTA GESTANTE DO GOOGLE FORMS'!$E32))</f>
        <v>31 telefone</v>
      </c>
      <c r="E32" s="48" t="str">
        <f>IF(ISBLANK('LISTA GESTANTE DO GOOGLE FORMS'!$F32),"",('LISTA GESTANTE DO GOOGLE FORMS'!$F32))</f>
        <v>31 gest</v>
      </c>
      <c r="F32" s="51" t="str">
        <f>IF(ISBLANK('LISTA GESTANTE DO GOOGLE FORMS'!$G32),"",('LISTA GESTANTE DO GOOGLE FORMS'!$G32))</f>
        <v>31 parto</v>
      </c>
      <c r="G32" s="48" t="str">
        <f>IF(ISBLANK('LISTA GESTANTE DO GOOGLE FORMS'!$H32),"",('LISTA GESTANTE DO GOOGLE FORMS'!$H32))</f>
        <v>31 sexo</v>
      </c>
      <c r="H32" s="48" t="str">
        <f>IF(ISBLANK('LISTA GESTANTE DO GOOGLE FORMS'!$I32),"",('LISTA GESTANTE DO GOOGLE FORMS'!$I32))</f>
        <v>31 cpf</v>
      </c>
      <c r="I32" s="48" t="str">
        <f>IF(ISBLANK('LISTA GESTANTE DO GOOGLE FORMS'!$J32),"",('LISTA GESTANTE DO GOOGLE FORMS'!$J32))</f>
        <v>31 identidade</v>
      </c>
      <c r="J32" s="51" t="str">
        <f>IF(ISBLANK('LISTA GESTANTE DO GOOGLE FORMS'!$K32),"",('LISTA GESTANTE DO GOOGLE FORMS'!$K32))</f>
        <v>31 D Nascim</v>
      </c>
      <c r="K32" s="48" t="str">
        <f>IF(ISBLANK('LISTA GESTANTE DO GOOGLE FORMS'!$L32),"",('LISTA GESTANTE DO GOOGLE FORMS'!$L32))</f>
        <v>31 idad</v>
      </c>
      <c r="L32" s="48" t="str">
        <f>IF(ISBLANK('LISTA GESTANTE DO GOOGLE FORMS'!$M32),"",('LISTA GESTANTE DO GOOGLE FORMS'!$M32))</f>
        <v>31 trab</v>
      </c>
      <c r="M32" s="48" t="str">
        <f>IF(ISBLANK('LISTA GESTANTE DO GOOGLE FORMS'!$N32),"",('LISTA GESTANTE DO GOOGLE FORMS'!$N32))</f>
        <v>31 Est Civil</v>
      </c>
      <c r="N32" s="48" t="str">
        <f>IF(ISBLANK('LISTA GESTANTE DO GOOGLE FORMS'!$O32),"",('LISTA GESTANTE DO GOOGLE FORMS'!$O32))</f>
        <v>31 Religiao</v>
      </c>
      <c r="O32" s="48" t="str">
        <f>IF(ISBLANK('LISTA GESTANTE DO GOOGLE FORMS'!$P32),"",('LISTA GESTANTE DO GOOGLE FORMS'!$P32))</f>
        <v>31 Observações</v>
      </c>
      <c r="P32" s="49" t="str">
        <f>IF(ISBLANK('LISTA GESTANTE DO GOOGLE FORMS'!$Q32),"",('LISTA GESTANTE DO GOOGLE FORMS'!$Q32))</f>
        <v>31 Endereço</v>
      </c>
      <c r="Q32" s="49" t="str">
        <f>IF(ISBLANK('LISTA GESTANTE DO GOOGLE FORMS'!$R32),"",('LISTA GESTANTE DO GOOGLE FORMS'!$R32))</f>
        <v>31 Bairro</v>
      </c>
      <c r="R32" s="49" t="str">
        <f>IF(ISBLANK('LISTA GESTANTE DO GOOGLE FORMS'!$S32),"",('LISTA GESTANTE DO GOOGLE FORMS'!$S32))</f>
        <v>31 cidade</v>
      </c>
      <c r="S32" s="49" t="str">
        <f>IF(ISBLANK('LISTA GESTANTE DO GOOGLE FORMS'!$T32),"",('LISTA GESTANTE DO GOOGLE FORMS'!$T32))</f>
        <v>31 nome do pai</v>
      </c>
      <c r="T32" s="48" t="str">
        <f>IF(ISBLANK('LISTA GESTANTE DO GOOGLE FORMS'!$U32),"",('LISTA GESTANTE DO GOOGLE FORMS'!$U32))</f>
        <v>31 NP</v>
      </c>
      <c r="U32" s="48" t="str">
        <f>IF(ISBLANK('LISTA GESTANTE DO GOOGLE FORMS'!$V32),"",('LISTA GESTANTE DO GOOGLE FORMS'!$V32))</f>
        <v>31 Atendim</v>
      </c>
      <c r="V32" s="48" t="str">
        <f>IF(ISBLANK('LISTA GESTANTE DO GOOGLE FORMS'!$W32),"",('LISTA GESTANTE DO GOOGLE FORMS'!$W32))</f>
        <v>31 Beneficio</v>
      </c>
      <c r="W32" s="108" t="str">
        <f>IF(ISBLANK('LISTA GESTANTE DO GOOGLE FORMS'!$X32),"",('LISTA GESTANTE DO GOOGLE FORMS'!$X32))</f>
        <v>31 email</v>
      </c>
      <c r="X32" s="49" t="str">
        <f>IF(ISBLANK('LISTA GESTANTE DO GOOGLE FORMS'!$Y32),"",('LISTA GESTANTE DO GOOGLE FORMS'!$Y32))</f>
        <v>31 joao</v>
      </c>
    </row>
    <row r="33" spans="1:24" ht="17.100000000000001" customHeight="1" thickBot="1" x14ac:dyDescent="0.3">
      <c r="A33" s="39">
        <f t="shared" si="0"/>
        <v>32</v>
      </c>
      <c r="B33" s="92">
        <f>IF(ISBLANK('LISTA GESTANTE DO GOOGLE FORMS'!$C33),"",('LISTA GESTANTE DO GOOGLE FORMS'!$C33))</f>
        <v>32</v>
      </c>
      <c r="C33" s="49" t="str">
        <f>IF(ISBLANK('LISTA GESTANTE DO GOOGLE FORMS'!$D33),"",('LISTA GESTANTE DO GOOGLE FORMS'!$D33))</f>
        <v>32 nome da gestante</v>
      </c>
      <c r="D33" s="48" t="str">
        <f>IF(ISBLANK('LISTA GESTANTE DO GOOGLE FORMS'!$E33),"",('LISTA GESTANTE DO GOOGLE FORMS'!$E33))</f>
        <v>32 telefone</v>
      </c>
      <c r="E33" s="48" t="str">
        <f>IF(ISBLANK('LISTA GESTANTE DO GOOGLE FORMS'!$F33),"",('LISTA GESTANTE DO GOOGLE FORMS'!$F33))</f>
        <v>32 gest</v>
      </c>
      <c r="F33" s="51" t="str">
        <f>IF(ISBLANK('LISTA GESTANTE DO GOOGLE FORMS'!$G33),"",('LISTA GESTANTE DO GOOGLE FORMS'!$G33))</f>
        <v>32 parto</v>
      </c>
      <c r="G33" s="48" t="str">
        <f>IF(ISBLANK('LISTA GESTANTE DO GOOGLE FORMS'!$H33),"",('LISTA GESTANTE DO GOOGLE FORMS'!$H33))</f>
        <v>32 sexo</v>
      </c>
      <c r="H33" s="48" t="str">
        <f>IF(ISBLANK('LISTA GESTANTE DO GOOGLE FORMS'!$I33),"",('LISTA GESTANTE DO GOOGLE FORMS'!$I33))</f>
        <v>32 cpf</v>
      </c>
      <c r="I33" s="48" t="str">
        <f>IF(ISBLANK('LISTA GESTANTE DO GOOGLE FORMS'!$J33),"",('LISTA GESTANTE DO GOOGLE FORMS'!$J33))</f>
        <v>32 identidade</v>
      </c>
      <c r="J33" s="51" t="str">
        <f>IF(ISBLANK('LISTA GESTANTE DO GOOGLE FORMS'!$K33),"",('LISTA GESTANTE DO GOOGLE FORMS'!$K33))</f>
        <v>32 D Nascim</v>
      </c>
      <c r="K33" s="48" t="str">
        <f>IF(ISBLANK('LISTA GESTANTE DO GOOGLE FORMS'!$L33),"",('LISTA GESTANTE DO GOOGLE FORMS'!$L33))</f>
        <v>32 idad</v>
      </c>
      <c r="L33" s="48" t="str">
        <f>IF(ISBLANK('LISTA GESTANTE DO GOOGLE FORMS'!$M33),"",('LISTA GESTANTE DO GOOGLE FORMS'!$M33))</f>
        <v>32 trab</v>
      </c>
      <c r="M33" s="48" t="str">
        <f>IF(ISBLANK('LISTA GESTANTE DO GOOGLE FORMS'!$N33),"",('LISTA GESTANTE DO GOOGLE FORMS'!$N33))</f>
        <v>32 Est Civil</v>
      </c>
      <c r="N33" s="48" t="str">
        <f>IF(ISBLANK('LISTA GESTANTE DO GOOGLE FORMS'!$O33),"",('LISTA GESTANTE DO GOOGLE FORMS'!$O33))</f>
        <v>32 Religiao</v>
      </c>
      <c r="O33" s="48" t="str">
        <f>IF(ISBLANK('LISTA GESTANTE DO GOOGLE FORMS'!$P33),"",('LISTA GESTANTE DO GOOGLE FORMS'!$P33))</f>
        <v>32 Observações</v>
      </c>
      <c r="P33" s="49" t="str">
        <f>IF(ISBLANK('LISTA GESTANTE DO GOOGLE FORMS'!$Q33),"",('LISTA GESTANTE DO GOOGLE FORMS'!$Q33))</f>
        <v>32 Endereço</v>
      </c>
      <c r="Q33" s="49" t="str">
        <f>IF(ISBLANK('LISTA GESTANTE DO GOOGLE FORMS'!$R33),"",('LISTA GESTANTE DO GOOGLE FORMS'!$R33))</f>
        <v>32 Bairro</v>
      </c>
      <c r="R33" s="49" t="str">
        <f>IF(ISBLANK('LISTA GESTANTE DO GOOGLE FORMS'!$S33),"",('LISTA GESTANTE DO GOOGLE FORMS'!$S33))</f>
        <v>32 cidade</v>
      </c>
      <c r="S33" s="49" t="str">
        <f>IF(ISBLANK('LISTA GESTANTE DO GOOGLE FORMS'!$T33),"",('LISTA GESTANTE DO GOOGLE FORMS'!$T33))</f>
        <v>32 nome do pai</v>
      </c>
      <c r="T33" s="48" t="str">
        <f>IF(ISBLANK('LISTA GESTANTE DO GOOGLE FORMS'!$U33),"",('LISTA GESTANTE DO GOOGLE FORMS'!$U33))</f>
        <v>32 NP</v>
      </c>
      <c r="U33" s="48" t="str">
        <f>IF(ISBLANK('LISTA GESTANTE DO GOOGLE FORMS'!$V33),"",('LISTA GESTANTE DO GOOGLE FORMS'!$V33))</f>
        <v>32 Atendim</v>
      </c>
      <c r="V33" s="48" t="str">
        <f>IF(ISBLANK('LISTA GESTANTE DO GOOGLE FORMS'!$W33),"",('LISTA GESTANTE DO GOOGLE FORMS'!$W33))</f>
        <v>32 Beneficio</v>
      </c>
      <c r="W33" s="108" t="str">
        <f>IF(ISBLANK('LISTA GESTANTE DO GOOGLE FORMS'!$X33),"",('LISTA GESTANTE DO GOOGLE FORMS'!$X33))</f>
        <v>32 email</v>
      </c>
      <c r="X33" s="49" t="str">
        <f>IF(ISBLANK('LISTA GESTANTE DO GOOGLE FORMS'!$Y33),"",('LISTA GESTANTE DO GOOGLE FORMS'!$Y33))</f>
        <v>32 joao</v>
      </c>
    </row>
    <row r="34" spans="1:24" ht="17.100000000000001" customHeight="1" thickBot="1" x14ac:dyDescent="0.3">
      <c r="A34" s="39">
        <f t="shared" si="0"/>
        <v>33</v>
      </c>
      <c r="B34" s="92">
        <f>IF(ISBLANK('LISTA GESTANTE DO GOOGLE FORMS'!$C34),"",('LISTA GESTANTE DO GOOGLE FORMS'!$C34))</f>
        <v>33</v>
      </c>
      <c r="C34" s="49" t="str">
        <f>IF(ISBLANK('LISTA GESTANTE DO GOOGLE FORMS'!$D34),"",('LISTA GESTANTE DO GOOGLE FORMS'!$D34))</f>
        <v>33 nome da gestante</v>
      </c>
      <c r="D34" s="48" t="str">
        <f>IF(ISBLANK('LISTA GESTANTE DO GOOGLE FORMS'!$E34),"",('LISTA GESTANTE DO GOOGLE FORMS'!$E34))</f>
        <v>33 telefone</v>
      </c>
      <c r="E34" s="48" t="str">
        <f>IF(ISBLANK('LISTA GESTANTE DO GOOGLE FORMS'!$F34),"",('LISTA GESTANTE DO GOOGLE FORMS'!$F34))</f>
        <v>33 gest</v>
      </c>
      <c r="F34" s="51" t="str">
        <f>IF(ISBLANK('LISTA GESTANTE DO GOOGLE FORMS'!$G34),"",('LISTA GESTANTE DO GOOGLE FORMS'!$G34))</f>
        <v>33 parto</v>
      </c>
      <c r="G34" s="48" t="str">
        <f>IF(ISBLANK('LISTA GESTANTE DO GOOGLE FORMS'!$H34),"",('LISTA GESTANTE DO GOOGLE FORMS'!$H34))</f>
        <v>33 sexo</v>
      </c>
      <c r="H34" s="48" t="str">
        <f>IF(ISBLANK('LISTA GESTANTE DO GOOGLE FORMS'!$I34),"",('LISTA GESTANTE DO GOOGLE FORMS'!$I34))</f>
        <v>33 cpf</v>
      </c>
      <c r="I34" s="48" t="str">
        <f>IF(ISBLANK('LISTA GESTANTE DO GOOGLE FORMS'!$J34),"",('LISTA GESTANTE DO GOOGLE FORMS'!$J34))</f>
        <v>33 identidade</v>
      </c>
      <c r="J34" s="51" t="str">
        <f>IF(ISBLANK('LISTA GESTANTE DO GOOGLE FORMS'!$K34),"",('LISTA GESTANTE DO GOOGLE FORMS'!$K34))</f>
        <v>33 D Nascim</v>
      </c>
      <c r="K34" s="48" t="str">
        <f>IF(ISBLANK('LISTA GESTANTE DO GOOGLE FORMS'!$L34),"",('LISTA GESTANTE DO GOOGLE FORMS'!$L34))</f>
        <v>33 idad</v>
      </c>
      <c r="L34" s="48" t="str">
        <f>IF(ISBLANK('LISTA GESTANTE DO GOOGLE FORMS'!$M34),"",('LISTA GESTANTE DO GOOGLE FORMS'!$M34))</f>
        <v>33 trab</v>
      </c>
      <c r="M34" s="48" t="str">
        <f>IF(ISBLANK('LISTA GESTANTE DO GOOGLE FORMS'!$N34),"",('LISTA GESTANTE DO GOOGLE FORMS'!$N34))</f>
        <v>33 Est Civil</v>
      </c>
      <c r="N34" s="48" t="str">
        <f>IF(ISBLANK('LISTA GESTANTE DO GOOGLE FORMS'!$O34),"",('LISTA GESTANTE DO GOOGLE FORMS'!$O34))</f>
        <v>33 Religiao</v>
      </c>
      <c r="O34" s="48" t="str">
        <f>IF(ISBLANK('LISTA GESTANTE DO GOOGLE FORMS'!$P34),"",('LISTA GESTANTE DO GOOGLE FORMS'!$P34))</f>
        <v>33 Observações</v>
      </c>
      <c r="P34" s="49" t="str">
        <f>IF(ISBLANK('LISTA GESTANTE DO GOOGLE FORMS'!$Q34),"",('LISTA GESTANTE DO GOOGLE FORMS'!$Q34))</f>
        <v>33 Endereço</v>
      </c>
      <c r="Q34" s="49" t="str">
        <f>IF(ISBLANK('LISTA GESTANTE DO GOOGLE FORMS'!$R34),"",('LISTA GESTANTE DO GOOGLE FORMS'!$R34))</f>
        <v>33 Bairro</v>
      </c>
      <c r="R34" s="49" t="str">
        <f>IF(ISBLANK('LISTA GESTANTE DO GOOGLE FORMS'!$S34),"",('LISTA GESTANTE DO GOOGLE FORMS'!$S34))</f>
        <v>33 cidade</v>
      </c>
      <c r="S34" s="49" t="str">
        <f>IF(ISBLANK('LISTA GESTANTE DO GOOGLE FORMS'!$T34),"",('LISTA GESTANTE DO GOOGLE FORMS'!$T34))</f>
        <v>33 nome do pai</v>
      </c>
      <c r="T34" s="48" t="str">
        <f>IF(ISBLANK('LISTA GESTANTE DO GOOGLE FORMS'!$U34),"",('LISTA GESTANTE DO GOOGLE FORMS'!$U34))</f>
        <v>33 NP</v>
      </c>
      <c r="U34" s="48" t="str">
        <f>IF(ISBLANK('LISTA GESTANTE DO GOOGLE FORMS'!$V34),"",('LISTA GESTANTE DO GOOGLE FORMS'!$V34))</f>
        <v>33 Atendim</v>
      </c>
      <c r="V34" s="48" t="str">
        <f>IF(ISBLANK('LISTA GESTANTE DO GOOGLE FORMS'!$W34),"",('LISTA GESTANTE DO GOOGLE FORMS'!$W34))</f>
        <v>33 Beneficio</v>
      </c>
      <c r="W34" s="108" t="str">
        <f>IF(ISBLANK('LISTA GESTANTE DO GOOGLE FORMS'!$X34),"",('LISTA GESTANTE DO GOOGLE FORMS'!$X34))</f>
        <v>33 email</v>
      </c>
      <c r="X34" s="49" t="str">
        <f>IF(ISBLANK('LISTA GESTANTE DO GOOGLE FORMS'!$Y34),"",('LISTA GESTANTE DO GOOGLE FORMS'!$Y34))</f>
        <v>33 joao</v>
      </c>
    </row>
    <row r="35" spans="1:24" ht="17.100000000000001" customHeight="1" thickBot="1" x14ac:dyDescent="0.3">
      <c r="A35" s="39">
        <f t="shared" ref="A35:A40" si="1">A34+1</f>
        <v>34</v>
      </c>
      <c r="B35" s="92">
        <f>IF(ISBLANK('LISTA GESTANTE DO GOOGLE FORMS'!$C35),"",('LISTA GESTANTE DO GOOGLE FORMS'!$C35))</f>
        <v>34</v>
      </c>
      <c r="C35" s="49" t="str">
        <f>IF(ISBLANK('LISTA GESTANTE DO GOOGLE FORMS'!$D35),"",('LISTA GESTANTE DO GOOGLE FORMS'!$D35))</f>
        <v>34 nome da gestante</v>
      </c>
      <c r="D35" s="48" t="str">
        <f>IF(ISBLANK('LISTA GESTANTE DO GOOGLE FORMS'!$E35),"",('LISTA GESTANTE DO GOOGLE FORMS'!$E35))</f>
        <v>34 telefone</v>
      </c>
      <c r="E35" s="48" t="str">
        <f>IF(ISBLANK('LISTA GESTANTE DO GOOGLE FORMS'!$F35),"",('LISTA GESTANTE DO GOOGLE FORMS'!$F35))</f>
        <v>34 gest</v>
      </c>
      <c r="F35" s="51" t="str">
        <f>IF(ISBLANK('LISTA GESTANTE DO GOOGLE FORMS'!$G35),"",('LISTA GESTANTE DO GOOGLE FORMS'!$G35))</f>
        <v>34 parto</v>
      </c>
      <c r="G35" s="48" t="str">
        <f>IF(ISBLANK('LISTA GESTANTE DO GOOGLE FORMS'!$H35),"",('LISTA GESTANTE DO GOOGLE FORMS'!$H35))</f>
        <v>34 sexo</v>
      </c>
      <c r="H35" s="48" t="str">
        <f>IF(ISBLANK('LISTA GESTANTE DO GOOGLE FORMS'!$I35),"",('LISTA GESTANTE DO GOOGLE FORMS'!$I35))</f>
        <v>34 cpf</v>
      </c>
      <c r="I35" s="48" t="str">
        <f>IF(ISBLANK('LISTA GESTANTE DO GOOGLE FORMS'!$J35),"",('LISTA GESTANTE DO GOOGLE FORMS'!$J35))</f>
        <v>34 identidade</v>
      </c>
      <c r="J35" s="51" t="str">
        <f>IF(ISBLANK('LISTA GESTANTE DO GOOGLE FORMS'!$K35),"",('LISTA GESTANTE DO GOOGLE FORMS'!$K35))</f>
        <v>34 D Nascim</v>
      </c>
      <c r="K35" s="48" t="str">
        <f>IF(ISBLANK('LISTA GESTANTE DO GOOGLE FORMS'!$L35),"",('LISTA GESTANTE DO GOOGLE FORMS'!$L35))</f>
        <v>34 idad</v>
      </c>
      <c r="L35" s="48" t="str">
        <f>IF(ISBLANK('LISTA GESTANTE DO GOOGLE FORMS'!$M35),"",('LISTA GESTANTE DO GOOGLE FORMS'!$M35))</f>
        <v>34 trab</v>
      </c>
      <c r="M35" s="48" t="str">
        <f>IF(ISBLANK('LISTA GESTANTE DO GOOGLE FORMS'!$N35),"",('LISTA GESTANTE DO GOOGLE FORMS'!$N35))</f>
        <v>34 Est Civil</v>
      </c>
      <c r="N35" s="48" t="str">
        <f>IF(ISBLANK('LISTA GESTANTE DO GOOGLE FORMS'!$O35),"",('LISTA GESTANTE DO GOOGLE FORMS'!$O35))</f>
        <v>34 Religiao</v>
      </c>
      <c r="O35" s="48" t="str">
        <f>IF(ISBLANK('LISTA GESTANTE DO GOOGLE FORMS'!$P35),"",('LISTA GESTANTE DO GOOGLE FORMS'!$P35))</f>
        <v>34 Observações</v>
      </c>
      <c r="P35" s="49" t="str">
        <f>IF(ISBLANK('LISTA GESTANTE DO GOOGLE FORMS'!$Q35),"",('LISTA GESTANTE DO GOOGLE FORMS'!$Q35))</f>
        <v>34 Endereço</v>
      </c>
      <c r="Q35" s="49" t="str">
        <f>IF(ISBLANK('LISTA GESTANTE DO GOOGLE FORMS'!$R35),"",('LISTA GESTANTE DO GOOGLE FORMS'!$R35))</f>
        <v>34 Bairro</v>
      </c>
      <c r="R35" s="49" t="str">
        <f>IF(ISBLANK('LISTA GESTANTE DO GOOGLE FORMS'!$S35),"",('LISTA GESTANTE DO GOOGLE FORMS'!$S35))</f>
        <v>34 cidade</v>
      </c>
      <c r="S35" s="49" t="str">
        <f>IF(ISBLANK('LISTA GESTANTE DO GOOGLE FORMS'!$T35),"",('LISTA GESTANTE DO GOOGLE FORMS'!$T35))</f>
        <v>34 nome do pai</v>
      </c>
      <c r="T35" s="48" t="str">
        <f>IF(ISBLANK('LISTA GESTANTE DO GOOGLE FORMS'!$U35),"",('LISTA GESTANTE DO GOOGLE FORMS'!$U35))</f>
        <v>34 NP</v>
      </c>
      <c r="U35" s="48" t="str">
        <f>IF(ISBLANK('LISTA GESTANTE DO GOOGLE FORMS'!$V35),"",('LISTA GESTANTE DO GOOGLE FORMS'!$V35))</f>
        <v>34 Atendim</v>
      </c>
      <c r="V35" s="48" t="str">
        <f>IF(ISBLANK('LISTA GESTANTE DO GOOGLE FORMS'!$W35),"",('LISTA GESTANTE DO GOOGLE FORMS'!$W35))</f>
        <v>34 Beneficio</v>
      </c>
      <c r="W35" s="108" t="str">
        <f>IF(ISBLANK('LISTA GESTANTE DO GOOGLE FORMS'!$X35),"",('LISTA GESTANTE DO GOOGLE FORMS'!$X35))</f>
        <v>34 email</v>
      </c>
      <c r="X35" s="49" t="str">
        <f>IF(ISBLANK('LISTA GESTANTE DO GOOGLE FORMS'!$Y35),"",('LISTA GESTANTE DO GOOGLE FORMS'!$Y35))</f>
        <v>34 joao</v>
      </c>
    </row>
    <row r="36" spans="1:24" s="3" customFormat="1" ht="17.100000000000001" customHeight="1" thickBot="1" x14ac:dyDescent="0.3">
      <c r="A36" s="39">
        <f t="shared" si="1"/>
        <v>35</v>
      </c>
      <c r="B36" s="92">
        <f>IF(ISBLANK('LISTA GESTANTE DO GOOGLE FORMS'!$C36),"",('LISTA GESTANTE DO GOOGLE FORMS'!$C36))</f>
        <v>35</v>
      </c>
      <c r="C36" s="49" t="str">
        <f>IF(ISBLANK('LISTA GESTANTE DO GOOGLE FORMS'!$D36),"",('LISTA GESTANTE DO GOOGLE FORMS'!$D36))</f>
        <v>35 nome da gestante</v>
      </c>
      <c r="D36" s="48" t="str">
        <f>IF(ISBLANK('LISTA GESTANTE DO GOOGLE FORMS'!$E36),"",('LISTA GESTANTE DO GOOGLE FORMS'!$E36))</f>
        <v>35 telefone</v>
      </c>
      <c r="E36" s="48" t="str">
        <f>IF(ISBLANK('LISTA GESTANTE DO GOOGLE FORMS'!$F36),"",('LISTA GESTANTE DO GOOGLE FORMS'!$F36))</f>
        <v>35 gest</v>
      </c>
      <c r="F36" s="51" t="str">
        <f>IF(ISBLANK('LISTA GESTANTE DO GOOGLE FORMS'!$G36),"",('LISTA GESTANTE DO GOOGLE FORMS'!$G36))</f>
        <v>35 parto</v>
      </c>
      <c r="G36" s="48" t="str">
        <f>IF(ISBLANK('LISTA GESTANTE DO GOOGLE FORMS'!$H36),"",('LISTA GESTANTE DO GOOGLE FORMS'!$H36))</f>
        <v>35 sexo</v>
      </c>
      <c r="H36" s="48" t="str">
        <f>IF(ISBLANK('LISTA GESTANTE DO GOOGLE FORMS'!$I36),"",('LISTA GESTANTE DO GOOGLE FORMS'!$I36))</f>
        <v>35 cpf</v>
      </c>
      <c r="I36" s="48" t="str">
        <f>IF(ISBLANK('LISTA GESTANTE DO GOOGLE FORMS'!$J36),"",('LISTA GESTANTE DO GOOGLE FORMS'!$J36))</f>
        <v>35 identidade</v>
      </c>
      <c r="J36" s="51" t="str">
        <f>IF(ISBLANK('LISTA GESTANTE DO GOOGLE FORMS'!$K36),"",('LISTA GESTANTE DO GOOGLE FORMS'!$K36))</f>
        <v>35 D Nascim</v>
      </c>
      <c r="K36" s="48" t="str">
        <f>IF(ISBLANK('LISTA GESTANTE DO GOOGLE FORMS'!$L36),"",('LISTA GESTANTE DO GOOGLE FORMS'!$L36))</f>
        <v>35 idad</v>
      </c>
      <c r="L36" s="48" t="str">
        <f>IF(ISBLANK('LISTA GESTANTE DO GOOGLE FORMS'!$M36),"",('LISTA GESTANTE DO GOOGLE FORMS'!$M36))</f>
        <v>35 trab</v>
      </c>
      <c r="M36" s="48" t="str">
        <f>IF(ISBLANK('LISTA GESTANTE DO GOOGLE FORMS'!$N36),"",('LISTA GESTANTE DO GOOGLE FORMS'!$N36))</f>
        <v>35 Est Civil</v>
      </c>
      <c r="N36" s="48" t="str">
        <f>IF(ISBLANK('LISTA GESTANTE DO GOOGLE FORMS'!$O36),"",('LISTA GESTANTE DO GOOGLE FORMS'!$O36))</f>
        <v>35 Religiao</v>
      </c>
      <c r="O36" s="48" t="str">
        <f>IF(ISBLANK('LISTA GESTANTE DO GOOGLE FORMS'!$P36),"",('LISTA GESTANTE DO GOOGLE FORMS'!$P36))</f>
        <v>35 Observações</v>
      </c>
      <c r="P36" s="49" t="str">
        <f>IF(ISBLANK('LISTA GESTANTE DO GOOGLE FORMS'!$Q36),"",('LISTA GESTANTE DO GOOGLE FORMS'!$Q36))</f>
        <v>35 Endereço</v>
      </c>
      <c r="Q36" s="49" t="str">
        <f>IF(ISBLANK('LISTA GESTANTE DO GOOGLE FORMS'!$R36),"",('LISTA GESTANTE DO GOOGLE FORMS'!$R36))</f>
        <v>35 Bairro</v>
      </c>
      <c r="R36" s="49" t="str">
        <f>IF(ISBLANK('LISTA GESTANTE DO GOOGLE FORMS'!$S36),"",('LISTA GESTANTE DO GOOGLE FORMS'!$S36))</f>
        <v>35 cidade</v>
      </c>
      <c r="S36" s="49" t="str">
        <f>IF(ISBLANK('LISTA GESTANTE DO GOOGLE FORMS'!$T36),"",('LISTA GESTANTE DO GOOGLE FORMS'!$T36))</f>
        <v>35 nome do pai</v>
      </c>
      <c r="T36" s="48" t="str">
        <f>IF(ISBLANK('LISTA GESTANTE DO GOOGLE FORMS'!$U36),"",('LISTA GESTANTE DO GOOGLE FORMS'!$U36))</f>
        <v>35 NP</v>
      </c>
      <c r="U36" s="48" t="str">
        <f>IF(ISBLANK('LISTA GESTANTE DO GOOGLE FORMS'!$V36),"",('LISTA GESTANTE DO GOOGLE FORMS'!$V36))</f>
        <v>35 Atendim</v>
      </c>
      <c r="V36" s="48" t="str">
        <f>IF(ISBLANK('LISTA GESTANTE DO GOOGLE FORMS'!$W36),"",('LISTA GESTANTE DO GOOGLE FORMS'!$W36))</f>
        <v>35 Beneficio</v>
      </c>
      <c r="W36" s="108" t="str">
        <f>IF(ISBLANK('LISTA GESTANTE DO GOOGLE FORMS'!$X36),"",('LISTA GESTANTE DO GOOGLE FORMS'!$X36))</f>
        <v>35 email</v>
      </c>
      <c r="X36" s="49" t="str">
        <f>IF(ISBLANK('LISTA GESTANTE DO GOOGLE FORMS'!$Y36),"",('LISTA GESTANTE DO GOOGLE FORMS'!$Y36))</f>
        <v>35 joao</v>
      </c>
    </row>
    <row r="37" spans="1:24" ht="17.100000000000001" customHeight="1" thickBot="1" x14ac:dyDescent="0.3">
      <c r="A37" s="39">
        <f t="shared" si="1"/>
        <v>36</v>
      </c>
      <c r="B37" s="92">
        <f>IF(ISBLANK('LISTA GESTANTE DO GOOGLE FORMS'!$C37),"",('LISTA GESTANTE DO GOOGLE FORMS'!$C37))</f>
        <v>36</v>
      </c>
      <c r="C37" s="49" t="str">
        <f>IF(ISBLANK('LISTA GESTANTE DO GOOGLE FORMS'!$D37),"",('LISTA GESTANTE DO GOOGLE FORMS'!$D37))</f>
        <v>36 nome da gestante</v>
      </c>
      <c r="D37" s="48" t="str">
        <f>IF(ISBLANK('LISTA GESTANTE DO GOOGLE FORMS'!$E37),"",('LISTA GESTANTE DO GOOGLE FORMS'!$E37))</f>
        <v>36 telefone</v>
      </c>
      <c r="E37" s="48" t="str">
        <f>IF(ISBLANK('LISTA GESTANTE DO GOOGLE FORMS'!$F37),"",('LISTA GESTANTE DO GOOGLE FORMS'!$F37))</f>
        <v>36 gest</v>
      </c>
      <c r="F37" s="51" t="str">
        <f>IF(ISBLANK('LISTA GESTANTE DO GOOGLE FORMS'!$G37),"",('LISTA GESTANTE DO GOOGLE FORMS'!$G37))</f>
        <v>36 parto</v>
      </c>
      <c r="G37" s="48" t="str">
        <f>IF(ISBLANK('LISTA GESTANTE DO GOOGLE FORMS'!$H37),"",('LISTA GESTANTE DO GOOGLE FORMS'!$H37))</f>
        <v>36 sexo</v>
      </c>
      <c r="H37" s="48" t="str">
        <f>IF(ISBLANK('LISTA GESTANTE DO GOOGLE FORMS'!$I37),"",('LISTA GESTANTE DO GOOGLE FORMS'!$I37))</f>
        <v>36 cpf</v>
      </c>
      <c r="I37" s="48" t="str">
        <f>IF(ISBLANK('LISTA GESTANTE DO GOOGLE FORMS'!$J37),"",('LISTA GESTANTE DO GOOGLE FORMS'!$J37))</f>
        <v>36 identidade</v>
      </c>
      <c r="J37" s="51" t="str">
        <f>IF(ISBLANK('LISTA GESTANTE DO GOOGLE FORMS'!$K37),"",('LISTA GESTANTE DO GOOGLE FORMS'!$K37))</f>
        <v>36 D Nascim</v>
      </c>
      <c r="K37" s="48" t="str">
        <f>IF(ISBLANK('LISTA GESTANTE DO GOOGLE FORMS'!$L37),"",('LISTA GESTANTE DO GOOGLE FORMS'!$L37))</f>
        <v>36 idad</v>
      </c>
      <c r="L37" s="48" t="str">
        <f>IF(ISBLANK('LISTA GESTANTE DO GOOGLE FORMS'!$M37),"",('LISTA GESTANTE DO GOOGLE FORMS'!$M37))</f>
        <v>36 trab</v>
      </c>
      <c r="M37" s="48" t="str">
        <f>IF(ISBLANK('LISTA GESTANTE DO GOOGLE FORMS'!$N37),"",('LISTA GESTANTE DO GOOGLE FORMS'!$N37))</f>
        <v>36 Est Civil</v>
      </c>
      <c r="N37" s="48" t="str">
        <f>IF(ISBLANK('LISTA GESTANTE DO GOOGLE FORMS'!$O37),"",('LISTA GESTANTE DO GOOGLE FORMS'!$O37))</f>
        <v>36 Religiao</v>
      </c>
      <c r="O37" s="48" t="str">
        <f>IF(ISBLANK('LISTA GESTANTE DO GOOGLE FORMS'!$P37),"",('LISTA GESTANTE DO GOOGLE FORMS'!$P37))</f>
        <v>36 Observações</v>
      </c>
      <c r="P37" s="49" t="str">
        <f>IF(ISBLANK('LISTA GESTANTE DO GOOGLE FORMS'!$Q37),"",('LISTA GESTANTE DO GOOGLE FORMS'!$Q37))</f>
        <v>36 Endereço</v>
      </c>
      <c r="Q37" s="49" t="str">
        <f>IF(ISBLANK('LISTA GESTANTE DO GOOGLE FORMS'!$R37),"",('LISTA GESTANTE DO GOOGLE FORMS'!$R37))</f>
        <v>36 Bairro</v>
      </c>
      <c r="R37" s="49" t="str">
        <f>IF(ISBLANK('LISTA GESTANTE DO GOOGLE FORMS'!$S37),"",('LISTA GESTANTE DO GOOGLE FORMS'!$S37))</f>
        <v>36 cidade</v>
      </c>
      <c r="S37" s="49" t="str">
        <f>IF(ISBLANK('LISTA GESTANTE DO GOOGLE FORMS'!$T37),"",('LISTA GESTANTE DO GOOGLE FORMS'!$T37))</f>
        <v>36 nome do pai</v>
      </c>
      <c r="T37" s="48" t="str">
        <f>IF(ISBLANK('LISTA GESTANTE DO GOOGLE FORMS'!$U37),"",('LISTA GESTANTE DO GOOGLE FORMS'!$U37))</f>
        <v>36 NP</v>
      </c>
      <c r="U37" s="48" t="str">
        <f>IF(ISBLANK('LISTA GESTANTE DO GOOGLE FORMS'!$V37),"",('LISTA GESTANTE DO GOOGLE FORMS'!$V37))</f>
        <v>36 Atendim</v>
      </c>
      <c r="V37" s="48" t="str">
        <f>IF(ISBLANK('LISTA GESTANTE DO GOOGLE FORMS'!$W37),"",('LISTA GESTANTE DO GOOGLE FORMS'!$W37))</f>
        <v>36 Beneficio</v>
      </c>
      <c r="W37" s="108" t="str">
        <f>IF(ISBLANK('LISTA GESTANTE DO GOOGLE FORMS'!$X37),"",('LISTA GESTANTE DO GOOGLE FORMS'!$X37))</f>
        <v>36 email</v>
      </c>
      <c r="X37" s="49" t="str">
        <f>IF(ISBLANK('LISTA GESTANTE DO GOOGLE FORMS'!$Y37),"",('LISTA GESTANTE DO GOOGLE FORMS'!$Y37))</f>
        <v>36 joao</v>
      </c>
    </row>
    <row r="38" spans="1:24" ht="17.100000000000001" customHeight="1" thickBot="1" x14ac:dyDescent="0.3">
      <c r="A38" s="39">
        <f t="shared" si="1"/>
        <v>37</v>
      </c>
      <c r="B38" s="92">
        <f>IF(ISBLANK('LISTA GESTANTE DO GOOGLE FORMS'!$C38),"",('LISTA GESTANTE DO GOOGLE FORMS'!$C38))</f>
        <v>37</v>
      </c>
      <c r="C38" s="49" t="str">
        <f>IF(ISBLANK('LISTA GESTANTE DO GOOGLE FORMS'!$D38),"",('LISTA GESTANTE DO GOOGLE FORMS'!$D38))</f>
        <v>37 nome da gestante</v>
      </c>
      <c r="D38" s="48" t="str">
        <f>IF(ISBLANK('LISTA GESTANTE DO GOOGLE FORMS'!$E38),"",('LISTA GESTANTE DO GOOGLE FORMS'!$E38))</f>
        <v>37 telefone</v>
      </c>
      <c r="E38" s="48" t="str">
        <f>IF(ISBLANK('LISTA GESTANTE DO GOOGLE FORMS'!$F38),"",('LISTA GESTANTE DO GOOGLE FORMS'!$F38))</f>
        <v>37 gest</v>
      </c>
      <c r="F38" s="51" t="str">
        <f>IF(ISBLANK('LISTA GESTANTE DO GOOGLE FORMS'!$G38),"",('LISTA GESTANTE DO GOOGLE FORMS'!$G38))</f>
        <v>37 parto</v>
      </c>
      <c r="G38" s="48" t="str">
        <f>IF(ISBLANK('LISTA GESTANTE DO GOOGLE FORMS'!$H38),"",('LISTA GESTANTE DO GOOGLE FORMS'!$H38))</f>
        <v>37 sexo</v>
      </c>
      <c r="H38" s="48" t="str">
        <f>IF(ISBLANK('LISTA GESTANTE DO GOOGLE FORMS'!$I38),"",('LISTA GESTANTE DO GOOGLE FORMS'!$I38))</f>
        <v>37 cpf</v>
      </c>
      <c r="I38" s="48" t="str">
        <f>IF(ISBLANK('LISTA GESTANTE DO GOOGLE FORMS'!$J38),"",('LISTA GESTANTE DO GOOGLE FORMS'!$J38))</f>
        <v>37 identidade</v>
      </c>
      <c r="J38" s="51" t="str">
        <f>IF(ISBLANK('LISTA GESTANTE DO GOOGLE FORMS'!$K38),"",('LISTA GESTANTE DO GOOGLE FORMS'!$K38))</f>
        <v>37 D Nascim</v>
      </c>
      <c r="K38" s="48" t="str">
        <f>IF(ISBLANK('LISTA GESTANTE DO GOOGLE FORMS'!$L38),"",('LISTA GESTANTE DO GOOGLE FORMS'!$L38))</f>
        <v>37 idad</v>
      </c>
      <c r="L38" s="48" t="str">
        <f>IF(ISBLANK('LISTA GESTANTE DO GOOGLE FORMS'!$M38),"",('LISTA GESTANTE DO GOOGLE FORMS'!$M38))</f>
        <v>37 trab</v>
      </c>
      <c r="M38" s="48" t="str">
        <f>IF(ISBLANK('LISTA GESTANTE DO GOOGLE FORMS'!$N38),"",('LISTA GESTANTE DO GOOGLE FORMS'!$N38))</f>
        <v>37 Est Civil</v>
      </c>
      <c r="N38" s="48" t="str">
        <f>IF(ISBLANK('LISTA GESTANTE DO GOOGLE FORMS'!$O38),"",('LISTA GESTANTE DO GOOGLE FORMS'!$O38))</f>
        <v>37 Religiao</v>
      </c>
      <c r="O38" s="48" t="str">
        <f>IF(ISBLANK('LISTA GESTANTE DO GOOGLE FORMS'!$P38),"",('LISTA GESTANTE DO GOOGLE FORMS'!$P38))</f>
        <v>37 Observações</v>
      </c>
      <c r="P38" s="49" t="str">
        <f>IF(ISBLANK('LISTA GESTANTE DO GOOGLE FORMS'!$Q38),"",('LISTA GESTANTE DO GOOGLE FORMS'!$Q38))</f>
        <v>37 Endereço</v>
      </c>
      <c r="Q38" s="49" t="str">
        <f>IF(ISBLANK('LISTA GESTANTE DO GOOGLE FORMS'!$R38),"",('LISTA GESTANTE DO GOOGLE FORMS'!$R38))</f>
        <v>37 Bairro</v>
      </c>
      <c r="R38" s="49" t="str">
        <f>IF(ISBLANK('LISTA GESTANTE DO GOOGLE FORMS'!$S38),"",('LISTA GESTANTE DO GOOGLE FORMS'!$S38))</f>
        <v>37 cidade</v>
      </c>
      <c r="S38" s="49" t="str">
        <f>IF(ISBLANK('LISTA GESTANTE DO GOOGLE FORMS'!$T38),"",('LISTA GESTANTE DO GOOGLE FORMS'!$T38))</f>
        <v>37 nome do pai</v>
      </c>
      <c r="T38" s="48" t="str">
        <f>IF(ISBLANK('LISTA GESTANTE DO GOOGLE FORMS'!$U38),"",('LISTA GESTANTE DO GOOGLE FORMS'!$U38))</f>
        <v>37 NP</v>
      </c>
      <c r="U38" s="48" t="str">
        <f>IF(ISBLANK('LISTA GESTANTE DO GOOGLE FORMS'!$V38),"",('LISTA GESTANTE DO GOOGLE FORMS'!$V38))</f>
        <v>37 Atendim</v>
      </c>
      <c r="V38" s="48" t="str">
        <f>IF(ISBLANK('LISTA GESTANTE DO GOOGLE FORMS'!$W38),"",('LISTA GESTANTE DO GOOGLE FORMS'!$W38))</f>
        <v>37 Beneficio</v>
      </c>
      <c r="W38" s="108" t="str">
        <f>IF(ISBLANK('LISTA GESTANTE DO GOOGLE FORMS'!$X38),"",('LISTA GESTANTE DO GOOGLE FORMS'!$X38))</f>
        <v>37 email</v>
      </c>
      <c r="X38" s="49" t="str">
        <f>IF(ISBLANK('LISTA GESTANTE DO GOOGLE FORMS'!$Y38),"",('LISTA GESTANTE DO GOOGLE FORMS'!$Y38))</f>
        <v>37 joao</v>
      </c>
    </row>
    <row r="39" spans="1:24" ht="17.100000000000001" customHeight="1" thickBot="1" x14ac:dyDescent="0.3">
      <c r="A39" s="39">
        <f t="shared" si="1"/>
        <v>38</v>
      </c>
      <c r="B39" s="92">
        <f>IF(ISBLANK('LISTA GESTANTE DO GOOGLE FORMS'!$C39),"",('LISTA GESTANTE DO GOOGLE FORMS'!$C39))</f>
        <v>38</v>
      </c>
      <c r="C39" s="49" t="str">
        <f>IF(ISBLANK('LISTA GESTANTE DO GOOGLE FORMS'!$D39),"",('LISTA GESTANTE DO GOOGLE FORMS'!$D39))</f>
        <v>38 nome da gestante</v>
      </c>
      <c r="D39" s="48" t="str">
        <f>IF(ISBLANK('LISTA GESTANTE DO GOOGLE FORMS'!$E39),"",('LISTA GESTANTE DO GOOGLE FORMS'!$E39))</f>
        <v>38 telefone</v>
      </c>
      <c r="E39" s="48" t="str">
        <f>IF(ISBLANK('LISTA GESTANTE DO GOOGLE FORMS'!$F39),"",('LISTA GESTANTE DO GOOGLE FORMS'!$F39))</f>
        <v>38 gest</v>
      </c>
      <c r="F39" s="51" t="str">
        <f>IF(ISBLANK('LISTA GESTANTE DO GOOGLE FORMS'!$G39),"",('LISTA GESTANTE DO GOOGLE FORMS'!$G39))</f>
        <v>38 parto</v>
      </c>
      <c r="G39" s="48" t="str">
        <f>IF(ISBLANK('LISTA GESTANTE DO GOOGLE FORMS'!$H39),"",('LISTA GESTANTE DO GOOGLE FORMS'!$H39))</f>
        <v>38 sexo</v>
      </c>
      <c r="H39" s="48" t="str">
        <f>IF(ISBLANK('LISTA GESTANTE DO GOOGLE FORMS'!$I39),"",('LISTA GESTANTE DO GOOGLE FORMS'!$I39))</f>
        <v>38 cpf</v>
      </c>
      <c r="I39" s="48" t="str">
        <f>IF(ISBLANK('LISTA GESTANTE DO GOOGLE FORMS'!$J39),"",('LISTA GESTANTE DO GOOGLE FORMS'!$J39))</f>
        <v>38 identidade</v>
      </c>
      <c r="J39" s="51" t="str">
        <f>IF(ISBLANK('LISTA GESTANTE DO GOOGLE FORMS'!$K39),"",('LISTA GESTANTE DO GOOGLE FORMS'!$K39))</f>
        <v>38 D Nascim</v>
      </c>
      <c r="K39" s="48" t="str">
        <f>IF(ISBLANK('LISTA GESTANTE DO GOOGLE FORMS'!$L39),"",('LISTA GESTANTE DO GOOGLE FORMS'!$L39))</f>
        <v>38 idad</v>
      </c>
      <c r="L39" s="48" t="str">
        <f>IF(ISBLANK('LISTA GESTANTE DO GOOGLE FORMS'!$M39),"",('LISTA GESTANTE DO GOOGLE FORMS'!$M39))</f>
        <v>38 trab</v>
      </c>
      <c r="M39" s="48" t="str">
        <f>IF(ISBLANK('LISTA GESTANTE DO GOOGLE FORMS'!$N39),"",('LISTA GESTANTE DO GOOGLE FORMS'!$N39))</f>
        <v>38 Est Civil</v>
      </c>
      <c r="N39" s="48" t="str">
        <f>IF(ISBLANK('LISTA GESTANTE DO GOOGLE FORMS'!$O39),"",('LISTA GESTANTE DO GOOGLE FORMS'!$O39))</f>
        <v>38 Religiao</v>
      </c>
      <c r="O39" s="48" t="str">
        <f>IF(ISBLANK('LISTA GESTANTE DO GOOGLE FORMS'!$P39),"",('LISTA GESTANTE DO GOOGLE FORMS'!$P39))</f>
        <v>38 Observações</v>
      </c>
      <c r="P39" s="49" t="str">
        <f>IF(ISBLANK('LISTA GESTANTE DO GOOGLE FORMS'!$Q39),"",('LISTA GESTANTE DO GOOGLE FORMS'!$Q39))</f>
        <v>38 Endereço</v>
      </c>
      <c r="Q39" s="49" t="str">
        <f>IF(ISBLANK('LISTA GESTANTE DO GOOGLE FORMS'!$R39),"",('LISTA GESTANTE DO GOOGLE FORMS'!$R39))</f>
        <v>38 Bairro</v>
      </c>
      <c r="R39" s="49" t="str">
        <f>IF(ISBLANK('LISTA GESTANTE DO GOOGLE FORMS'!$S39),"",('LISTA GESTANTE DO GOOGLE FORMS'!$S39))</f>
        <v>38 cidade</v>
      </c>
      <c r="S39" s="49" t="str">
        <f>IF(ISBLANK('LISTA GESTANTE DO GOOGLE FORMS'!$T39),"",('LISTA GESTANTE DO GOOGLE FORMS'!$T39))</f>
        <v>38 nome do pai</v>
      </c>
      <c r="T39" s="48" t="str">
        <f>IF(ISBLANK('LISTA GESTANTE DO GOOGLE FORMS'!$U39),"",('LISTA GESTANTE DO GOOGLE FORMS'!$U39))</f>
        <v>38 NP</v>
      </c>
      <c r="U39" s="48" t="str">
        <f>IF(ISBLANK('LISTA GESTANTE DO GOOGLE FORMS'!$V39),"",('LISTA GESTANTE DO GOOGLE FORMS'!$V39))</f>
        <v>38 Atendim</v>
      </c>
      <c r="V39" s="48" t="str">
        <f>IF(ISBLANK('LISTA GESTANTE DO GOOGLE FORMS'!$W39),"",('LISTA GESTANTE DO GOOGLE FORMS'!$W39))</f>
        <v>38 Beneficio</v>
      </c>
      <c r="W39" s="108" t="str">
        <f>IF(ISBLANK('LISTA GESTANTE DO GOOGLE FORMS'!$X39),"",('LISTA GESTANTE DO GOOGLE FORMS'!$X39))</f>
        <v>38 email</v>
      </c>
      <c r="X39" s="49" t="str">
        <f>IF(ISBLANK('LISTA GESTANTE DO GOOGLE FORMS'!$Y39),"",('LISTA GESTANTE DO GOOGLE FORMS'!$Y39))</f>
        <v>38 joao</v>
      </c>
    </row>
    <row r="40" spans="1:24" ht="17.100000000000001" customHeight="1" thickBot="1" x14ac:dyDescent="0.3">
      <c r="A40" s="39">
        <f t="shared" si="1"/>
        <v>39</v>
      </c>
      <c r="B40" s="92">
        <f>IF(ISBLANK('LISTA GESTANTE DO GOOGLE FORMS'!$C40),"",('LISTA GESTANTE DO GOOGLE FORMS'!$C40))</f>
        <v>39</v>
      </c>
      <c r="C40" s="49" t="str">
        <f>IF(ISBLANK('LISTA GESTANTE DO GOOGLE FORMS'!$D40),"",('LISTA GESTANTE DO GOOGLE FORMS'!$D40))</f>
        <v>39 nome da gestante</v>
      </c>
      <c r="D40" s="48" t="str">
        <f>IF(ISBLANK('LISTA GESTANTE DO GOOGLE FORMS'!$E40),"",('LISTA GESTANTE DO GOOGLE FORMS'!$E40))</f>
        <v>39 telefone</v>
      </c>
      <c r="E40" s="48" t="str">
        <f>IF(ISBLANK('LISTA GESTANTE DO GOOGLE FORMS'!$F40),"",('LISTA GESTANTE DO GOOGLE FORMS'!$F40))</f>
        <v>39 gest</v>
      </c>
      <c r="F40" s="51" t="str">
        <f>IF(ISBLANK('LISTA GESTANTE DO GOOGLE FORMS'!$G40),"",('LISTA GESTANTE DO GOOGLE FORMS'!$G40))</f>
        <v>39 parto</v>
      </c>
      <c r="G40" s="48" t="str">
        <f>IF(ISBLANK('LISTA GESTANTE DO GOOGLE FORMS'!$H40),"",('LISTA GESTANTE DO GOOGLE FORMS'!$H40))</f>
        <v>39 sexo</v>
      </c>
      <c r="H40" s="48" t="str">
        <f>IF(ISBLANK('LISTA GESTANTE DO GOOGLE FORMS'!$I40),"",('LISTA GESTANTE DO GOOGLE FORMS'!$I40))</f>
        <v>39 cpf</v>
      </c>
      <c r="I40" s="48" t="str">
        <f>IF(ISBLANK('LISTA GESTANTE DO GOOGLE FORMS'!$J40),"",('LISTA GESTANTE DO GOOGLE FORMS'!$J40))</f>
        <v>39 identidade</v>
      </c>
      <c r="J40" s="51" t="str">
        <f>IF(ISBLANK('LISTA GESTANTE DO GOOGLE FORMS'!$K40),"",('LISTA GESTANTE DO GOOGLE FORMS'!$K40))</f>
        <v>39 D Nascim</v>
      </c>
      <c r="K40" s="48" t="str">
        <f>IF(ISBLANK('LISTA GESTANTE DO GOOGLE FORMS'!$L40),"",('LISTA GESTANTE DO GOOGLE FORMS'!$L40))</f>
        <v>39 idad</v>
      </c>
      <c r="L40" s="48" t="str">
        <f>IF(ISBLANK('LISTA GESTANTE DO GOOGLE FORMS'!$M40),"",('LISTA GESTANTE DO GOOGLE FORMS'!$M40))</f>
        <v>39 trab</v>
      </c>
      <c r="M40" s="48" t="str">
        <f>IF(ISBLANK('LISTA GESTANTE DO GOOGLE FORMS'!$N40),"",('LISTA GESTANTE DO GOOGLE FORMS'!$N40))</f>
        <v>39 Est Civil</v>
      </c>
      <c r="N40" s="48" t="str">
        <f>IF(ISBLANK('LISTA GESTANTE DO GOOGLE FORMS'!$O40),"",('LISTA GESTANTE DO GOOGLE FORMS'!$O40))</f>
        <v>39 Religiao</v>
      </c>
      <c r="O40" s="48" t="str">
        <f>IF(ISBLANK('LISTA GESTANTE DO GOOGLE FORMS'!$P40),"",('LISTA GESTANTE DO GOOGLE FORMS'!$P40))</f>
        <v>39 Observações</v>
      </c>
      <c r="P40" s="49" t="str">
        <f>IF(ISBLANK('LISTA GESTANTE DO GOOGLE FORMS'!$Q40),"",('LISTA GESTANTE DO GOOGLE FORMS'!$Q40))</f>
        <v>39 Endereço</v>
      </c>
      <c r="Q40" s="49" t="str">
        <f>IF(ISBLANK('LISTA GESTANTE DO GOOGLE FORMS'!$R40),"",('LISTA GESTANTE DO GOOGLE FORMS'!$R40))</f>
        <v>39 Bairro</v>
      </c>
      <c r="R40" s="49" t="str">
        <f>IF(ISBLANK('LISTA GESTANTE DO GOOGLE FORMS'!$S40),"",('LISTA GESTANTE DO GOOGLE FORMS'!$S40))</f>
        <v>39 cidade</v>
      </c>
      <c r="S40" s="49" t="str">
        <f>IF(ISBLANK('LISTA GESTANTE DO GOOGLE FORMS'!$T40),"",('LISTA GESTANTE DO GOOGLE FORMS'!$T40))</f>
        <v>39 nome do pai</v>
      </c>
      <c r="T40" s="48" t="str">
        <f>IF(ISBLANK('LISTA GESTANTE DO GOOGLE FORMS'!$U40),"",('LISTA GESTANTE DO GOOGLE FORMS'!$U40))</f>
        <v>39 NP</v>
      </c>
      <c r="U40" s="48" t="str">
        <f>IF(ISBLANK('LISTA GESTANTE DO GOOGLE FORMS'!$V40),"",('LISTA GESTANTE DO GOOGLE FORMS'!$V40))</f>
        <v>39 Atendim</v>
      </c>
      <c r="V40" s="48" t="str">
        <f>IF(ISBLANK('LISTA GESTANTE DO GOOGLE FORMS'!$W40),"",('LISTA GESTANTE DO GOOGLE FORMS'!$W40))</f>
        <v>39 Beneficio</v>
      </c>
      <c r="W40" s="108" t="str">
        <f>IF(ISBLANK('LISTA GESTANTE DO GOOGLE FORMS'!$X40),"",('LISTA GESTANTE DO GOOGLE FORMS'!$X40))</f>
        <v>39 email</v>
      </c>
      <c r="X40" s="49" t="str">
        <f>IF(ISBLANK('LISTA GESTANTE DO GOOGLE FORMS'!$Y40),"",('LISTA GESTANTE DO GOOGLE FORMS'!$Y40))</f>
        <v>39 joao</v>
      </c>
    </row>
    <row r="41" spans="1:24" ht="17.100000000000001" customHeight="1" thickBot="1" x14ac:dyDescent="0.3">
      <c r="A41" s="40">
        <f>A40+1</f>
        <v>40</v>
      </c>
      <c r="B41" s="92">
        <f>IF(ISBLANK('LISTA GESTANTE DO GOOGLE FORMS'!$C41),"",('LISTA GESTANTE DO GOOGLE FORMS'!$C41))</f>
        <v>40</v>
      </c>
      <c r="C41" s="49" t="str">
        <f>IF(ISBLANK('LISTA GESTANTE DO GOOGLE FORMS'!$D41),"",('LISTA GESTANTE DO GOOGLE FORMS'!$D41))</f>
        <v>40 nome da gestante</v>
      </c>
      <c r="D41" s="48" t="str">
        <f>IF(ISBLANK('LISTA GESTANTE DO GOOGLE FORMS'!$E41),"",('LISTA GESTANTE DO GOOGLE FORMS'!$E41))</f>
        <v>40 telefone</v>
      </c>
      <c r="E41" s="48" t="str">
        <f>IF(ISBLANK('LISTA GESTANTE DO GOOGLE FORMS'!$F41),"",('LISTA GESTANTE DO GOOGLE FORMS'!$F41))</f>
        <v>40 gest</v>
      </c>
      <c r="F41" s="51" t="str">
        <f>IF(ISBLANK('LISTA GESTANTE DO GOOGLE FORMS'!$G41),"",('LISTA GESTANTE DO GOOGLE FORMS'!$G41))</f>
        <v>40 parto</v>
      </c>
      <c r="G41" s="48" t="str">
        <f>IF(ISBLANK('LISTA GESTANTE DO GOOGLE FORMS'!$H41),"",('LISTA GESTANTE DO GOOGLE FORMS'!$H41))</f>
        <v>40 sexo</v>
      </c>
      <c r="H41" s="48" t="str">
        <f>IF(ISBLANK('LISTA GESTANTE DO GOOGLE FORMS'!$I41),"",('LISTA GESTANTE DO GOOGLE FORMS'!$I41))</f>
        <v>40 cpf</v>
      </c>
      <c r="I41" s="48" t="str">
        <f>IF(ISBLANK('LISTA GESTANTE DO GOOGLE FORMS'!$J41),"",('LISTA GESTANTE DO GOOGLE FORMS'!$J41))</f>
        <v>40 identidade</v>
      </c>
      <c r="J41" s="51" t="str">
        <f>IF(ISBLANK('LISTA GESTANTE DO GOOGLE FORMS'!$K41),"",('LISTA GESTANTE DO GOOGLE FORMS'!$K41))</f>
        <v>40 D Nascim</v>
      </c>
      <c r="K41" s="48" t="str">
        <f>IF(ISBLANK('LISTA GESTANTE DO GOOGLE FORMS'!$L41),"",('LISTA GESTANTE DO GOOGLE FORMS'!$L41))</f>
        <v>40 idad</v>
      </c>
      <c r="L41" s="48" t="str">
        <f>IF(ISBLANK('LISTA GESTANTE DO GOOGLE FORMS'!$M41),"",('LISTA GESTANTE DO GOOGLE FORMS'!$M41))</f>
        <v>40 trab</v>
      </c>
      <c r="M41" s="48" t="str">
        <f>IF(ISBLANK('LISTA GESTANTE DO GOOGLE FORMS'!$N41),"",('LISTA GESTANTE DO GOOGLE FORMS'!$N41))</f>
        <v>40 Est Civil</v>
      </c>
      <c r="N41" s="48" t="str">
        <f>IF(ISBLANK('LISTA GESTANTE DO GOOGLE FORMS'!$O41),"",('LISTA GESTANTE DO GOOGLE FORMS'!$O41))</f>
        <v>40 Religiao</v>
      </c>
      <c r="O41" s="48" t="str">
        <f>IF(ISBLANK('LISTA GESTANTE DO GOOGLE FORMS'!$P41),"",('LISTA GESTANTE DO GOOGLE FORMS'!$P41))</f>
        <v>40 Observações</v>
      </c>
      <c r="P41" s="49" t="str">
        <f>IF(ISBLANK('LISTA GESTANTE DO GOOGLE FORMS'!$Q41),"",('LISTA GESTANTE DO GOOGLE FORMS'!$Q41))</f>
        <v>40 Endereço</v>
      </c>
      <c r="Q41" s="49" t="str">
        <f>IF(ISBLANK('LISTA GESTANTE DO GOOGLE FORMS'!$R41),"",('LISTA GESTANTE DO GOOGLE FORMS'!$R41))</f>
        <v>40 Bairro</v>
      </c>
      <c r="R41" s="49" t="str">
        <f>IF(ISBLANK('LISTA GESTANTE DO GOOGLE FORMS'!$S41),"",('LISTA GESTANTE DO GOOGLE FORMS'!$S41))</f>
        <v>40 cidade</v>
      </c>
      <c r="S41" s="49" t="str">
        <f>IF(ISBLANK('LISTA GESTANTE DO GOOGLE FORMS'!$T41),"",('LISTA GESTANTE DO GOOGLE FORMS'!$T41))</f>
        <v>40 nome do pai</v>
      </c>
      <c r="T41" s="48" t="str">
        <f>IF(ISBLANK('LISTA GESTANTE DO GOOGLE FORMS'!$U41),"",('LISTA GESTANTE DO GOOGLE FORMS'!$U41))</f>
        <v>40 NP</v>
      </c>
      <c r="U41" s="48" t="str">
        <f>IF(ISBLANK('LISTA GESTANTE DO GOOGLE FORMS'!$V41),"",('LISTA GESTANTE DO GOOGLE FORMS'!$V41))</f>
        <v>40 Atendim</v>
      </c>
      <c r="V41" s="48" t="str">
        <f>IF(ISBLANK('LISTA GESTANTE DO GOOGLE FORMS'!$W41),"",('LISTA GESTANTE DO GOOGLE FORMS'!$W41))</f>
        <v>40 Beneficio</v>
      </c>
      <c r="W41" s="108" t="str">
        <f>IF(ISBLANK('LISTA GESTANTE DO GOOGLE FORMS'!$X41),"",('LISTA GESTANTE DO GOOGLE FORMS'!$X41))</f>
        <v>40 email</v>
      </c>
      <c r="X41" s="49" t="str">
        <f>IF(ISBLANK('LISTA GESTANTE DO GOOGLE FORMS'!$Y41),"",('LISTA GESTANTE DO GOOGLE FORMS'!$Y41))</f>
        <v>40 joao</v>
      </c>
    </row>
    <row r="42" spans="1:24" ht="26.25" thickBot="1" x14ac:dyDescent="0.3">
      <c r="A42" s="40">
        <f t="shared" ref="A42:A50" si="2">A41+1</f>
        <v>41</v>
      </c>
      <c r="B42" s="92">
        <f>IF(ISBLANK('LISTA GESTANTE DO GOOGLE FORMS'!$C42),"",('LISTA GESTANTE DO GOOGLE FORMS'!$C42))</f>
        <v>41</v>
      </c>
      <c r="C42" s="49" t="str">
        <f>IF(ISBLANK('LISTA GESTANTE DO GOOGLE FORMS'!$D42),"",('LISTA GESTANTE DO GOOGLE FORMS'!$D42))</f>
        <v>41 nome da gestante</v>
      </c>
      <c r="D42" s="48" t="str">
        <f>IF(ISBLANK('LISTA GESTANTE DO GOOGLE FORMS'!$E42),"",('LISTA GESTANTE DO GOOGLE FORMS'!$E42))</f>
        <v>41 telefone</v>
      </c>
      <c r="E42" s="48" t="str">
        <f>IF(ISBLANK('LISTA GESTANTE DO GOOGLE FORMS'!$F42),"",('LISTA GESTANTE DO GOOGLE FORMS'!$F42))</f>
        <v>41 gest</v>
      </c>
      <c r="F42" s="51" t="str">
        <f>IF(ISBLANK('LISTA GESTANTE DO GOOGLE FORMS'!$G42),"",('LISTA GESTANTE DO GOOGLE FORMS'!$G42))</f>
        <v>41 parto</v>
      </c>
      <c r="G42" s="48" t="str">
        <f>IF(ISBLANK('LISTA GESTANTE DO GOOGLE FORMS'!$H42),"",('LISTA GESTANTE DO GOOGLE FORMS'!$H42))</f>
        <v>41 sexo</v>
      </c>
      <c r="H42" s="48" t="str">
        <f>IF(ISBLANK('LISTA GESTANTE DO GOOGLE FORMS'!$I42),"",('LISTA GESTANTE DO GOOGLE FORMS'!$I42))</f>
        <v>41 cpf</v>
      </c>
      <c r="I42" s="48" t="str">
        <f>IF(ISBLANK('LISTA GESTANTE DO GOOGLE FORMS'!$J42),"",('LISTA GESTANTE DO GOOGLE FORMS'!$J42))</f>
        <v>41 identidade</v>
      </c>
      <c r="J42" s="51" t="str">
        <f>IF(ISBLANK('LISTA GESTANTE DO GOOGLE FORMS'!$K42),"",('LISTA GESTANTE DO GOOGLE FORMS'!$K42))</f>
        <v>41 D Nascim</v>
      </c>
      <c r="K42" s="48" t="str">
        <f>IF(ISBLANK('LISTA GESTANTE DO GOOGLE FORMS'!$L42),"",('LISTA GESTANTE DO GOOGLE FORMS'!$L42))</f>
        <v>41 idad</v>
      </c>
      <c r="L42" s="48" t="str">
        <f>IF(ISBLANK('LISTA GESTANTE DO GOOGLE FORMS'!$M42),"",('LISTA GESTANTE DO GOOGLE FORMS'!$M42))</f>
        <v>41 trab</v>
      </c>
      <c r="M42" s="48" t="str">
        <f>IF(ISBLANK('LISTA GESTANTE DO GOOGLE FORMS'!$N42),"",('LISTA GESTANTE DO GOOGLE FORMS'!$N42))</f>
        <v>41 Est Civil</v>
      </c>
      <c r="N42" s="48" t="str">
        <f>IF(ISBLANK('LISTA GESTANTE DO GOOGLE FORMS'!$O42),"",('LISTA GESTANTE DO GOOGLE FORMS'!$O42))</f>
        <v>41 Religiao</v>
      </c>
      <c r="O42" s="48" t="str">
        <f>IF(ISBLANK('LISTA GESTANTE DO GOOGLE FORMS'!$P42),"",('LISTA GESTANTE DO GOOGLE FORMS'!$P42))</f>
        <v>41 Observações</v>
      </c>
      <c r="P42" s="49" t="str">
        <f>IF(ISBLANK('LISTA GESTANTE DO GOOGLE FORMS'!$Q42),"",('LISTA GESTANTE DO GOOGLE FORMS'!$Q42))</f>
        <v>41 Endereço</v>
      </c>
      <c r="Q42" s="49" t="str">
        <f>IF(ISBLANK('LISTA GESTANTE DO GOOGLE FORMS'!$R42),"",('LISTA GESTANTE DO GOOGLE FORMS'!$R42))</f>
        <v>41 Bairro</v>
      </c>
      <c r="R42" s="49" t="str">
        <f>IF(ISBLANK('LISTA GESTANTE DO GOOGLE FORMS'!$S42),"",('LISTA GESTANTE DO GOOGLE FORMS'!$S42))</f>
        <v>41 cidade</v>
      </c>
      <c r="S42" s="49" t="str">
        <f>IF(ISBLANK('LISTA GESTANTE DO GOOGLE FORMS'!$T42),"",('LISTA GESTANTE DO GOOGLE FORMS'!$T42))</f>
        <v>41 nome do pai</v>
      </c>
      <c r="T42" s="48" t="str">
        <f>IF(ISBLANK('LISTA GESTANTE DO GOOGLE FORMS'!$U42),"",('LISTA GESTANTE DO GOOGLE FORMS'!$U42))</f>
        <v>41 NP</v>
      </c>
      <c r="U42" s="48" t="str">
        <f>IF(ISBLANK('LISTA GESTANTE DO GOOGLE FORMS'!$V42),"",('LISTA GESTANTE DO GOOGLE FORMS'!$V42))</f>
        <v>41 Atendim</v>
      </c>
      <c r="V42" s="48" t="str">
        <f>IF(ISBLANK('LISTA GESTANTE DO GOOGLE FORMS'!$W42),"",('LISTA GESTANTE DO GOOGLE FORMS'!$W42))</f>
        <v>41 Beneficio</v>
      </c>
      <c r="W42" s="108" t="str">
        <f>IF(ISBLANK('LISTA GESTANTE DO GOOGLE FORMS'!$X42),"",('LISTA GESTANTE DO GOOGLE FORMS'!$X42))</f>
        <v>41 email</v>
      </c>
      <c r="X42" s="49" t="str">
        <f>IF(ISBLANK('LISTA GESTANTE DO GOOGLE FORMS'!$Y42),"",('LISTA GESTANTE DO GOOGLE FORMS'!$Y42))</f>
        <v>41 joao</v>
      </c>
    </row>
    <row r="43" spans="1:24" ht="26.25" thickBot="1" x14ac:dyDescent="0.3">
      <c r="A43" s="40">
        <f t="shared" si="2"/>
        <v>42</v>
      </c>
      <c r="B43" s="92">
        <f>IF(ISBLANK('LISTA GESTANTE DO GOOGLE FORMS'!$C43),"",('LISTA GESTANTE DO GOOGLE FORMS'!$C43))</f>
        <v>42</v>
      </c>
      <c r="C43" s="49" t="str">
        <f>IF(ISBLANK('LISTA GESTANTE DO GOOGLE FORMS'!$D43),"",('LISTA GESTANTE DO GOOGLE FORMS'!$D43))</f>
        <v>42 nome da gestante</v>
      </c>
      <c r="D43" s="48" t="str">
        <f>IF(ISBLANK('LISTA GESTANTE DO GOOGLE FORMS'!$E43),"",('LISTA GESTANTE DO GOOGLE FORMS'!$E43))</f>
        <v>42 telefone</v>
      </c>
      <c r="E43" s="48" t="str">
        <f>IF(ISBLANK('LISTA GESTANTE DO GOOGLE FORMS'!$F43),"",('LISTA GESTANTE DO GOOGLE FORMS'!$F43))</f>
        <v>42 gest</v>
      </c>
      <c r="F43" s="51" t="str">
        <f>IF(ISBLANK('LISTA GESTANTE DO GOOGLE FORMS'!$G43),"",('LISTA GESTANTE DO GOOGLE FORMS'!$G43))</f>
        <v>42 parto</v>
      </c>
      <c r="G43" s="48" t="str">
        <f>IF(ISBLANK('LISTA GESTANTE DO GOOGLE FORMS'!$H43),"",('LISTA GESTANTE DO GOOGLE FORMS'!$H43))</f>
        <v>42 sexo</v>
      </c>
      <c r="H43" s="48" t="str">
        <f>IF(ISBLANK('LISTA GESTANTE DO GOOGLE FORMS'!$I43),"",('LISTA GESTANTE DO GOOGLE FORMS'!$I43))</f>
        <v>42 cpf</v>
      </c>
      <c r="I43" s="48" t="str">
        <f>IF(ISBLANK('LISTA GESTANTE DO GOOGLE FORMS'!$J43),"",('LISTA GESTANTE DO GOOGLE FORMS'!$J43))</f>
        <v>42 identidade</v>
      </c>
      <c r="J43" s="51" t="str">
        <f>IF(ISBLANK('LISTA GESTANTE DO GOOGLE FORMS'!$K43),"",('LISTA GESTANTE DO GOOGLE FORMS'!$K43))</f>
        <v>42 D Nascim</v>
      </c>
      <c r="K43" s="48" t="str">
        <f>IF(ISBLANK('LISTA GESTANTE DO GOOGLE FORMS'!$L43),"",('LISTA GESTANTE DO GOOGLE FORMS'!$L43))</f>
        <v>42 idad</v>
      </c>
      <c r="L43" s="48" t="str">
        <f>IF(ISBLANK('LISTA GESTANTE DO GOOGLE FORMS'!$M43),"",('LISTA GESTANTE DO GOOGLE FORMS'!$M43))</f>
        <v>42 trab</v>
      </c>
      <c r="M43" s="48" t="str">
        <f>IF(ISBLANK('LISTA GESTANTE DO GOOGLE FORMS'!$N43),"",('LISTA GESTANTE DO GOOGLE FORMS'!$N43))</f>
        <v>42 Est Civil</v>
      </c>
      <c r="N43" s="48" t="str">
        <f>IF(ISBLANK('LISTA GESTANTE DO GOOGLE FORMS'!$O43),"",('LISTA GESTANTE DO GOOGLE FORMS'!$O43))</f>
        <v>42 Religiao</v>
      </c>
      <c r="O43" s="48" t="str">
        <f>IF(ISBLANK('LISTA GESTANTE DO GOOGLE FORMS'!$P43),"",('LISTA GESTANTE DO GOOGLE FORMS'!$P43))</f>
        <v>42 Observações</v>
      </c>
      <c r="P43" s="49" t="str">
        <f>IF(ISBLANK('LISTA GESTANTE DO GOOGLE FORMS'!$Q43),"",('LISTA GESTANTE DO GOOGLE FORMS'!$Q43))</f>
        <v>42 Endereço</v>
      </c>
      <c r="Q43" s="49" t="str">
        <f>IF(ISBLANK('LISTA GESTANTE DO GOOGLE FORMS'!$R43),"",('LISTA GESTANTE DO GOOGLE FORMS'!$R43))</f>
        <v>42 Bairro</v>
      </c>
      <c r="R43" s="49" t="str">
        <f>IF(ISBLANK('LISTA GESTANTE DO GOOGLE FORMS'!$S43),"",('LISTA GESTANTE DO GOOGLE FORMS'!$S43))</f>
        <v>42 cidade</v>
      </c>
      <c r="S43" s="49" t="str">
        <f>IF(ISBLANK('LISTA GESTANTE DO GOOGLE FORMS'!$T43),"",('LISTA GESTANTE DO GOOGLE FORMS'!$T43))</f>
        <v>42 nome do pai</v>
      </c>
      <c r="T43" s="48" t="str">
        <f>IF(ISBLANK('LISTA GESTANTE DO GOOGLE FORMS'!$U43),"",('LISTA GESTANTE DO GOOGLE FORMS'!$U43))</f>
        <v>42 NP</v>
      </c>
      <c r="U43" s="48" t="str">
        <f>IF(ISBLANK('LISTA GESTANTE DO GOOGLE FORMS'!$V43),"",('LISTA GESTANTE DO GOOGLE FORMS'!$V43))</f>
        <v>42 Atendim</v>
      </c>
      <c r="V43" s="48" t="str">
        <f>IF(ISBLANK('LISTA GESTANTE DO GOOGLE FORMS'!$W43),"",('LISTA GESTANTE DO GOOGLE FORMS'!$W43))</f>
        <v>42 Beneficio</v>
      </c>
      <c r="W43" s="108" t="str">
        <f>IF(ISBLANK('LISTA GESTANTE DO GOOGLE FORMS'!$X43),"",('LISTA GESTANTE DO GOOGLE FORMS'!$X43))</f>
        <v>42 email</v>
      </c>
      <c r="X43" s="49" t="str">
        <f>IF(ISBLANK('LISTA GESTANTE DO GOOGLE FORMS'!$Y43),"",('LISTA GESTANTE DO GOOGLE FORMS'!$Y43))</f>
        <v>42 joao</v>
      </c>
    </row>
    <row r="44" spans="1:24" ht="26.25" thickBot="1" x14ac:dyDescent="0.3">
      <c r="A44" s="40">
        <f t="shared" si="2"/>
        <v>43</v>
      </c>
      <c r="B44" s="92">
        <f>IF(ISBLANK('LISTA GESTANTE DO GOOGLE FORMS'!$C44),"",('LISTA GESTANTE DO GOOGLE FORMS'!$C44))</f>
        <v>43</v>
      </c>
      <c r="C44" s="49" t="str">
        <f>IF(ISBLANK('LISTA GESTANTE DO GOOGLE FORMS'!$D44),"",('LISTA GESTANTE DO GOOGLE FORMS'!$D44))</f>
        <v>43 nome da gestante</v>
      </c>
      <c r="D44" s="48" t="str">
        <f>IF(ISBLANK('LISTA GESTANTE DO GOOGLE FORMS'!$E44),"",('LISTA GESTANTE DO GOOGLE FORMS'!$E44))</f>
        <v>43 telefone</v>
      </c>
      <c r="E44" s="48" t="str">
        <f>IF(ISBLANK('LISTA GESTANTE DO GOOGLE FORMS'!$F44),"",('LISTA GESTANTE DO GOOGLE FORMS'!$F44))</f>
        <v>43 gest</v>
      </c>
      <c r="F44" s="51" t="str">
        <f>IF(ISBLANK('LISTA GESTANTE DO GOOGLE FORMS'!$G44),"",('LISTA GESTANTE DO GOOGLE FORMS'!$G44))</f>
        <v>43 parto</v>
      </c>
      <c r="G44" s="48" t="str">
        <f>IF(ISBLANK('LISTA GESTANTE DO GOOGLE FORMS'!$H44),"",('LISTA GESTANTE DO GOOGLE FORMS'!$H44))</f>
        <v>43 sexo</v>
      </c>
      <c r="H44" s="48" t="str">
        <f>IF(ISBLANK('LISTA GESTANTE DO GOOGLE FORMS'!$I44),"",('LISTA GESTANTE DO GOOGLE FORMS'!$I44))</f>
        <v>43 cpf</v>
      </c>
      <c r="I44" s="48" t="str">
        <f>IF(ISBLANK('LISTA GESTANTE DO GOOGLE FORMS'!$J44),"",('LISTA GESTANTE DO GOOGLE FORMS'!$J44))</f>
        <v>43 identidade</v>
      </c>
      <c r="J44" s="51" t="str">
        <f>IF(ISBLANK('LISTA GESTANTE DO GOOGLE FORMS'!$K44),"",('LISTA GESTANTE DO GOOGLE FORMS'!$K44))</f>
        <v>43 D Nascim</v>
      </c>
      <c r="K44" s="48" t="str">
        <f>IF(ISBLANK('LISTA GESTANTE DO GOOGLE FORMS'!$L44),"",('LISTA GESTANTE DO GOOGLE FORMS'!$L44))</f>
        <v>43 idad</v>
      </c>
      <c r="L44" s="48" t="str">
        <f>IF(ISBLANK('LISTA GESTANTE DO GOOGLE FORMS'!$M44),"",('LISTA GESTANTE DO GOOGLE FORMS'!$M44))</f>
        <v>43 trab</v>
      </c>
      <c r="M44" s="48" t="str">
        <f>IF(ISBLANK('LISTA GESTANTE DO GOOGLE FORMS'!$N44),"",('LISTA GESTANTE DO GOOGLE FORMS'!$N44))</f>
        <v>43 Est Civil</v>
      </c>
      <c r="N44" s="48" t="str">
        <f>IF(ISBLANK('LISTA GESTANTE DO GOOGLE FORMS'!$O44),"",('LISTA GESTANTE DO GOOGLE FORMS'!$O44))</f>
        <v>43 Religiao</v>
      </c>
      <c r="O44" s="48" t="str">
        <f>IF(ISBLANK('LISTA GESTANTE DO GOOGLE FORMS'!$P44),"",('LISTA GESTANTE DO GOOGLE FORMS'!$P44))</f>
        <v>43 Observações</v>
      </c>
      <c r="P44" s="49" t="str">
        <f>IF(ISBLANK('LISTA GESTANTE DO GOOGLE FORMS'!$Q44),"",('LISTA GESTANTE DO GOOGLE FORMS'!$Q44))</f>
        <v>43 Endereço</v>
      </c>
      <c r="Q44" s="49" t="str">
        <f>IF(ISBLANK('LISTA GESTANTE DO GOOGLE FORMS'!$R44),"",('LISTA GESTANTE DO GOOGLE FORMS'!$R44))</f>
        <v>43 Bairro</v>
      </c>
      <c r="R44" s="49" t="str">
        <f>IF(ISBLANK('LISTA GESTANTE DO GOOGLE FORMS'!$S44),"",('LISTA GESTANTE DO GOOGLE FORMS'!$S44))</f>
        <v>43 cidade</v>
      </c>
      <c r="S44" s="49" t="str">
        <f>IF(ISBLANK('LISTA GESTANTE DO GOOGLE FORMS'!$T44),"",('LISTA GESTANTE DO GOOGLE FORMS'!$T44))</f>
        <v>43 nome do pai</v>
      </c>
      <c r="T44" s="48" t="str">
        <f>IF(ISBLANK('LISTA GESTANTE DO GOOGLE FORMS'!$U44),"",('LISTA GESTANTE DO GOOGLE FORMS'!$U44))</f>
        <v>43 NP</v>
      </c>
      <c r="U44" s="48" t="str">
        <f>IF(ISBLANK('LISTA GESTANTE DO GOOGLE FORMS'!$V44),"",('LISTA GESTANTE DO GOOGLE FORMS'!$V44))</f>
        <v>43 Atendim</v>
      </c>
      <c r="V44" s="48" t="str">
        <f>IF(ISBLANK('LISTA GESTANTE DO GOOGLE FORMS'!$W44),"",('LISTA GESTANTE DO GOOGLE FORMS'!$W44))</f>
        <v>43 Beneficio</v>
      </c>
      <c r="W44" s="108" t="str">
        <f>IF(ISBLANK('LISTA GESTANTE DO GOOGLE FORMS'!$X44),"",('LISTA GESTANTE DO GOOGLE FORMS'!$X44))</f>
        <v>43 email</v>
      </c>
      <c r="X44" s="49" t="str">
        <f>IF(ISBLANK('LISTA GESTANTE DO GOOGLE FORMS'!$Y44),"",('LISTA GESTANTE DO GOOGLE FORMS'!$Y44))</f>
        <v>43 joao</v>
      </c>
    </row>
    <row r="45" spans="1:24" ht="26.25" thickBot="1" x14ac:dyDescent="0.3">
      <c r="A45" s="40">
        <f t="shared" si="2"/>
        <v>44</v>
      </c>
      <c r="B45" s="92">
        <f>IF(ISBLANK('LISTA GESTANTE DO GOOGLE FORMS'!$C45),"",('LISTA GESTANTE DO GOOGLE FORMS'!$C45))</f>
        <v>44</v>
      </c>
      <c r="C45" s="49" t="str">
        <f>IF(ISBLANK('LISTA GESTANTE DO GOOGLE FORMS'!$D45),"",('LISTA GESTANTE DO GOOGLE FORMS'!$D45))</f>
        <v>44 nome da gestante</v>
      </c>
      <c r="D45" s="48" t="str">
        <f>IF(ISBLANK('LISTA GESTANTE DO GOOGLE FORMS'!$E45),"",('LISTA GESTANTE DO GOOGLE FORMS'!$E45))</f>
        <v>44 telefone</v>
      </c>
      <c r="E45" s="48" t="str">
        <f>IF(ISBLANK('LISTA GESTANTE DO GOOGLE FORMS'!$F45),"",('LISTA GESTANTE DO GOOGLE FORMS'!$F45))</f>
        <v>44 gest</v>
      </c>
      <c r="F45" s="51" t="str">
        <f>IF(ISBLANK('LISTA GESTANTE DO GOOGLE FORMS'!$G45),"",('LISTA GESTANTE DO GOOGLE FORMS'!$G45))</f>
        <v>44 parto</v>
      </c>
      <c r="G45" s="48" t="str">
        <f>IF(ISBLANK('LISTA GESTANTE DO GOOGLE FORMS'!$H45),"",('LISTA GESTANTE DO GOOGLE FORMS'!$H45))</f>
        <v>44 sexo</v>
      </c>
      <c r="H45" s="48" t="str">
        <f>IF(ISBLANK('LISTA GESTANTE DO GOOGLE FORMS'!$I45),"",('LISTA GESTANTE DO GOOGLE FORMS'!$I45))</f>
        <v>44 cpf</v>
      </c>
      <c r="I45" s="48" t="str">
        <f>IF(ISBLANK('LISTA GESTANTE DO GOOGLE FORMS'!$J45),"",('LISTA GESTANTE DO GOOGLE FORMS'!$J45))</f>
        <v>44 identidade</v>
      </c>
      <c r="J45" s="51" t="str">
        <f>IF(ISBLANK('LISTA GESTANTE DO GOOGLE FORMS'!$K45),"",('LISTA GESTANTE DO GOOGLE FORMS'!$K45))</f>
        <v>44 D Nascim</v>
      </c>
      <c r="K45" s="48" t="str">
        <f>IF(ISBLANK('LISTA GESTANTE DO GOOGLE FORMS'!$L45),"",('LISTA GESTANTE DO GOOGLE FORMS'!$L45))</f>
        <v>44 idad</v>
      </c>
      <c r="L45" s="48" t="str">
        <f>IF(ISBLANK('LISTA GESTANTE DO GOOGLE FORMS'!$M45),"",('LISTA GESTANTE DO GOOGLE FORMS'!$M45))</f>
        <v>44 trab</v>
      </c>
      <c r="M45" s="48" t="str">
        <f>IF(ISBLANK('LISTA GESTANTE DO GOOGLE FORMS'!$N45),"",('LISTA GESTANTE DO GOOGLE FORMS'!$N45))</f>
        <v>44 Est Civil</v>
      </c>
      <c r="N45" s="48" t="str">
        <f>IF(ISBLANK('LISTA GESTANTE DO GOOGLE FORMS'!$O45),"",('LISTA GESTANTE DO GOOGLE FORMS'!$O45))</f>
        <v>44 Religiao</v>
      </c>
      <c r="O45" s="48" t="str">
        <f>IF(ISBLANK('LISTA GESTANTE DO GOOGLE FORMS'!$P45),"",('LISTA GESTANTE DO GOOGLE FORMS'!$P45))</f>
        <v>44 Observações</v>
      </c>
      <c r="P45" s="49" t="str">
        <f>IF(ISBLANK('LISTA GESTANTE DO GOOGLE FORMS'!$Q45),"",('LISTA GESTANTE DO GOOGLE FORMS'!$Q45))</f>
        <v>44 Endereço</v>
      </c>
      <c r="Q45" s="49" t="str">
        <f>IF(ISBLANK('LISTA GESTANTE DO GOOGLE FORMS'!$R45),"",('LISTA GESTANTE DO GOOGLE FORMS'!$R45))</f>
        <v>44 Bairro</v>
      </c>
      <c r="R45" s="49" t="str">
        <f>IF(ISBLANK('LISTA GESTANTE DO GOOGLE FORMS'!$S45),"",('LISTA GESTANTE DO GOOGLE FORMS'!$S45))</f>
        <v>44 cidade</v>
      </c>
      <c r="S45" s="49" t="str">
        <f>IF(ISBLANK('LISTA GESTANTE DO GOOGLE FORMS'!$T45),"",('LISTA GESTANTE DO GOOGLE FORMS'!$T45))</f>
        <v>44 nome do pai</v>
      </c>
      <c r="T45" s="48" t="str">
        <f>IF(ISBLANK('LISTA GESTANTE DO GOOGLE FORMS'!$U45),"",('LISTA GESTANTE DO GOOGLE FORMS'!$U45))</f>
        <v>44 NP</v>
      </c>
      <c r="U45" s="48" t="str">
        <f>IF(ISBLANK('LISTA GESTANTE DO GOOGLE FORMS'!$V45),"",('LISTA GESTANTE DO GOOGLE FORMS'!$V45))</f>
        <v>44 Atendim</v>
      </c>
      <c r="V45" s="48" t="str">
        <f>IF(ISBLANK('LISTA GESTANTE DO GOOGLE FORMS'!$W45),"",('LISTA GESTANTE DO GOOGLE FORMS'!$W45))</f>
        <v>44 Beneficio</v>
      </c>
      <c r="W45" s="108" t="str">
        <f>IF(ISBLANK('LISTA GESTANTE DO GOOGLE FORMS'!$X45),"",('LISTA GESTANTE DO GOOGLE FORMS'!$X45))</f>
        <v>44 email</v>
      </c>
      <c r="X45" s="49" t="str">
        <f>IF(ISBLANK('LISTA GESTANTE DO GOOGLE FORMS'!$Y45),"",('LISTA GESTANTE DO GOOGLE FORMS'!$Y45))</f>
        <v>44 joao</v>
      </c>
    </row>
    <row r="46" spans="1:24" ht="26.25" thickBot="1" x14ac:dyDescent="0.3">
      <c r="A46" s="40">
        <f t="shared" si="2"/>
        <v>45</v>
      </c>
      <c r="B46" s="92">
        <f>IF(ISBLANK('LISTA GESTANTE DO GOOGLE FORMS'!$C46),"",('LISTA GESTANTE DO GOOGLE FORMS'!$C46))</f>
        <v>45</v>
      </c>
      <c r="C46" s="49" t="str">
        <f>IF(ISBLANK('LISTA GESTANTE DO GOOGLE FORMS'!$D46),"",('LISTA GESTANTE DO GOOGLE FORMS'!$D46))</f>
        <v>45 nome da gestante</v>
      </c>
      <c r="D46" s="48" t="str">
        <f>IF(ISBLANK('LISTA GESTANTE DO GOOGLE FORMS'!$E46),"",('LISTA GESTANTE DO GOOGLE FORMS'!$E46))</f>
        <v>45 telefone</v>
      </c>
      <c r="E46" s="48" t="str">
        <f>IF(ISBLANK('LISTA GESTANTE DO GOOGLE FORMS'!$F46),"",('LISTA GESTANTE DO GOOGLE FORMS'!$F46))</f>
        <v>45 gest</v>
      </c>
      <c r="F46" s="51" t="str">
        <f>IF(ISBLANK('LISTA GESTANTE DO GOOGLE FORMS'!$G46),"",('LISTA GESTANTE DO GOOGLE FORMS'!$G46))</f>
        <v>45 parto</v>
      </c>
      <c r="G46" s="48" t="str">
        <f>IF(ISBLANK('LISTA GESTANTE DO GOOGLE FORMS'!$H46),"",('LISTA GESTANTE DO GOOGLE FORMS'!$H46))</f>
        <v>45 sexo</v>
      </c>
      <c r="H46" s="48" t="str">
        <f>IF(ISBLANK('LISTA GESTANTE DO GOOGLE FORMS'!$I46),"",('LISTA GESTANTE DO GOOGLE FORMS'!$I46))</f>
        <v>45 cpf</v>
      </c>
      <c r="I46" s="48" t="str">
        <f>IF(ISBLANK('LISTA GESTANTE DO GOOGLE FORMS'!$J46),"",('LISTA GESTANTE DO GOOGLE FORMS'!$J46))</f>
        <v>45 identidade</v>
      </c>
      <c r="J46" s="51" t="str">
        <f>IF(ISBLANK('LISTA GESTANTE DO GOOGLE FORMS'!$K46),"",('LISTA GESTANTE DO GOOGLE FORMS'!$K46))</f>
        <v>45 D Nascim</v>
      </c>
      <c r="K46" s="48" t="str">
        <f>IF(ISBLANK('LISTA GESTANTE DO GOOGLE FORMS'!$L46),"",('LISTA GESTANTE DO GOOGLE FORMS'!$L46))</f>
        <v>45 idad</v>
      </c>
      <c r="L46" s="48" t="str">
        <f>IF(ISBLANK('LISTA GESTANTE DO GOOGLE FORMS'!$M46),"",('LISTA GESTANTE DO GOOGLE FORMS'!$M46))</f>
        <v>45 trab</v>
      </c>
      <c r="M46" s="48" t="str">
        <f>IF(ISBLANK('LISTA GESTANTE DO GOOGLE FORMS'!$N46),"",('LISTA GESTANTE DO GOOGLE FORMS'!$N46))</f>
        <v>45 Est Civil</v>
      </c>
      <c r="N46" s="48" t="str">
        <f>IF(ISBLANK('LISTA GESTANTE DO GOOGLE FORMS'!$O46),"",('LISTA GESTANTE DO GOOGLE FORMS'!$O46))</f>
        <v>45 Religiao</v>
      </c>
      <c r="O46" s="48" t="str">
        <f>IF(ISBLANK('LISTA GESTANTE DO GOOGLE FORMS'!$P46),"",('LISTA GESTANTE DO GOOGLE FORMS'!$P46))</f>
        <v>45 Observações</v>
      </c>
      <c r="P46" s="49" t="str">
        <f>IF(ISBLANK('LISTA GESTANTE DO GOOGLE FORMS'!$Q46),"",('LISTA GESTANTE DO GOOGLE FORMS'!$Q46))</f>
        <v>45 Endereço</v>
      </c>
      <c r="Q46" s="49" t="str">
        <f>IF(ISBLANK('LISTA GESTANTE DO GOOGLE FORMS'!$R46),"",('LISTA GESTANTE DO GOOGLE FORMS'!$R46))</f>
        <v>45 Bairro</v>
      </c>
      <c r="R46" s="49" t="str">
        <f>IF(ISBLANK('LISTA GESTANTE DO GOOGLE FORMS'!$S46),"",('LISTA GESTANTE DO GOOGLE FORMS'!$S46))</f>
        <v>45 cidade</v>
      </c>
      <c r="S46" s="49" t="str">
        <f>IF(ISBLANK('LISTA GESTANTE DO GOOGLE FORMS'!$T46),"",('LISTA GESTANTE DO GOOGLE FORMS'!$T46))</f>
        <v>45 nome do pai</v>
      </c>
      <c r="T46" s="48" t="str">
        <f>IF(ISBLANK('LISTA GESTANTE DO GOOGLE FORMS'!$U46),"",('LISTA GESTANTE DO GOOGLE FORMS'!$U46))</f>
        <v>45 NP</v>
      </c>
      <c r="U46" s="48" t="str">
        <f>IF(ISBLANK('LISTA GESTANTE DO GOOGLE FORMS'!$V46),"",('LISTA GESTANTE DO GOOGLE FORMS'!$V46))</f>
        <v>45 Atendim</v>
      </c>
      <c r="V46" s="48" t="str">
        <f>IF(ISBLANK('LISTA GESTANTE DO GOOGLE FORMS'!$W46),"",('LISTA GESTANTE DO GOOGLE FORMS'!$W46))</f>
        <v>45 Beneficio</v>
      </c>
      <c r="W46" s="108" t="str">
        <f>IF(ISBLANK('LISTA GESTANTE DO GOOGLE FORMS'!$X46),"",('LISTA GESTANTE DO GOOGLE FORMS'!$X46))</f>
        <v>45 email</v>
      </c>
      <c r="X46" s="49" t="str">
        <f>IF(ISBLANK('LISTA GESTANTE DO GOOGLE FORMS'!$Y46),"",('LISTA GESTANTE DO GOOGLE FORMS'!$Y46))</f>
        <v>45 joao</v>
      </c>
    </row>
    <row r="47" spans="1:24" ht="26.25" thickBot="1" x14ac:dyDescent="0.3">
      <c r="A47" s="40">
        <f t="shared" si="2"/>
        <v>46</v>
      </c>
      <c r="B47" s="92">
        <f>IF(ISBLANK('LISTA GESTANTE DO GOOGLE FORMS'!$C47),"",('LISTA GESTANTE DO GOOGLE FORMS'!$C47))</f>
        <v>46</v>
      </c>
      <c r="C47" s="49" t="str">
        <f>IF(ISBLANK('LISTA GESTANTE DO GOOGLE FORMS'!$D47),"",('LISTA GESTANTE DO GOOGLE FORMS'!$D47))</f>
        <v>46 nome da gestante</v>
      </c>
      <c r="D47" s="48" t="str">
        <f>IF(ISBLANK('LISTA GESTANTE DO GOOGLE FORMS'!$E47),"",('LISTA GESTANTE DO GOOGLE FORMS'!$E47))</f>
        <v>46 telefone</v>
      </c>
      <c r="E47" s="48" t="str">
        <f>IF(ISBLANK('LISTA GESTANTE DO GOOGLE FORMS'!$F47),"",('LISTA GESTANTE DO GOOGLE FORMS'!$F47))</f>
        <v>46 gest</v>
      </c>
      <c r="F47" s="51" t="str">
        <f>IF(ISBLANK('LISTA GESTANTE DO GOOGLE FORMS'!$G47),"",('LISTA GESTANTE DO GOOGLE FORMS'!$G47))</f>
        <v>46 parto</v>
      </c>
      <c r="G47" s="48" t="str">
        <f>IF(ISBLANK('LISTA GESTANTE DO GOOGLE FORMS'!$H47),"",('LISTA GESTANTE DO GOOGLE FORMS'!$H47))</f>
        <v>46 sexo</v>
      </c>
      <c r="H47" s="48" t="str">
        <f>IF(ISBLANK('LISTA GESTANTE DO GOOGLE FORMS'!$I47),"",('LISTA GESTANTE DO GOOGLE FORMS'!$I47))</f>
        <v>46 cpf</v>
      </c>
      <c r="I47" s="48" t="str">
        <f>IF(ISBLANK('LISTA GESTANTE DO GOOGLE FORMS'!$J47),"",('LISTA GESTANTE DO GOOGLE FORMS'!$J47))</f>
        <v>46 identidade</v>
      </c>
      <c r="J47" s="51" t="str">
        <f>IF(ISBLANK('LISTA GESTANTE DO GOOGLE FORMS'!$K47),"",('LISTA GESTANTE DO GOOGLE FORMS'!$K47))</f>
        <v>46 D Nascim</v>
      </c>
      <c r="K47" s="48" t="str">
        <f>IF(ISBLANK('LISTA GESTANTE DO GOOGLE FORMS'!$L47),"",('LISTA GESTANTE DO GOOGLE FORMS'!$L47))</f>
        <v>46 idad</v>
      </c>
      <c r="L47" s="48" t="str">
        <f>IF(ISBLANK('LISTA GESTANTE DO GOOGLE FORMS'!$M47),"",('LISTA GESTANTE DO GOOGLE FORMS'!$M47))</f>
        <v>46 trab</v>
      </c>
      <c r="M47" s="48" t="str">
        <f>IF(ISBLANK('LISTA GESTANTE DO GOOGLE FORMS'!$N47),"",('LISTA GESTANTE DO GOOGLE FORMS'!$N47))</f>
        <v>46 Est Civil</v>
      </c>
      <c r="N47" s="48" t="str">
        <f>IF(ISBLANK('LISTA GESTANTE DO GOOGLE FORMS'!$O47),"",('LISTA GESTANTE DO GOOGLE FORMS'!$O47))</f>
        <v>46 Religiao</v>
      </c>
      <c r="O47" s="48" t="str">
        <f>IF(ISBLANK('LISTA GESTANTE DO GOOGLE FORMS'!$P47),"",('LISTA GESTANTE DO GOOGLE FORMS'!$P47))</f>
        <v>46 Observações</v>
      </c>
      <c r="P47" s="49" t="str">
        <f>IF(ISBLANK('LISTA GESTANTE DO GOOGLE FORMS'!$Q47),"",('LISTA GESTANTE DO GOOGLE FORMS'!$Q47))</f>
        <v>46 Endereço</v>
      </c>
      <c r="Q47" s="49" t="str">
        <f>IF(ISBLANK('LISTA GESTANTE DO GOOGLE FORMS'!$R47),"",('LISTA GESTANTE DO GOOGLE FORMS'!$R47))</f>
        <v>46 Bairro</v>
      </c>
      <c r="R47" s="49" t="str">
        <f>IF(ISBLANK('LISTA GESTANTE DO GOOGLE FORMS'!$S47),"",('LISTA GESTANTE DO GOOGLE FORMS'!$S47))</f>
        <v>46 cidade</v>
      </c>
      <c r="S47" s="49" t="str">
        <f>IF(ISBLANK('LISTA GESTANTE DO GOOGLE FORMS'!$T47),"",('LISTA GESTANTE DO GOOGLE FORMS'!$T47))</f>
        <v>46 nome do pai</v>
      </c>
      <c r="T47" s="48" t="str">
        <f>IF(ISBLANK('LISTA GESTANTE DO GOOGLE FORMS'!$U47),"",('LISTA GESTANTE DO GOOGLE FORMS'!$U47))</f>
        <v>46 NP</v>
      </c>
      <c r="U47" s="48" t="str">
        <f>IF(ISBLANK('LISTA GESTANTE DO GOOGLE FORMS'!$V47),"",('LISTA GESTANTE DO GOOGLE FORMS'!$V47))</f>
        <v>46 Atendim</v>
      </c>
      <c r="V47" s="48" t="str">
        <f>IF(ISBLANK('LISTA GESTANTE DO GOOGLE FORMS'!$W47),"",('LISTA GESTANTE DO GOOGLE FORMS'!$W47))</f>
        <v>46 Beneficio</v>
      </c>
      <c r="W47" s="108" t="str">
        <f>IF(ISBLANK('LISTA GESTANTE DO GOOGLE FORMS'!$X47),"",('LISTA GESTANTE DO GOOGLE FORMS'!$X47))</f>
        <v>46 email</v>
      </c>
      <c r="X47" s="49" t="str">
        <f>IF(ISBLANK('LISTA GESTANTE DO GOOGLE FORMS'!$Y47),"",('LISTA GESTANTE DO GOOGLE FORMS'!$Y47))</f>
        <v>46 joao</v>
      </c>
    </row>
    <row r="48" spans="1:24" ht="26.25" thickBot="1" x14ac:dyDescent="0.3">
      <c r="A48" s="40">
        <f t="shared" si="2"/>
        <v>47</v>
      </c>
      <c r="B48" s="92">
        <f>IF(ISBLANK('LISTA GESTANTE DO GOOGLE FORMS'!$C48),"",('LISTA GESTANTE DO GOOGLE FORMS'!$C48))</f>
        <v>47</v>
      </c>
      <c r="C48" s="49" t="str">
        <f>IF(ISBLANK('LISTA GESTANTE DO GOOGLE FORMS'!$D48),"",('LISTA GESTANTE DO GOOGLE FORMS'!$D48))</f>
        <v>47 nome da gestante</v>
      </c>
      <c r="D48" s="48" t="str">
        <f>IF(ISBLANK('LISTA GESTANTE DO GOOGLE FORMS'!$E48),"",('LISTA GESTANTE DO GOOGLE FORMS'!$E48))</f>
        <v>47 telefone</v>
      </c>
      <c r="E48" s="48" t="str">
        <f>IF(ISBLANK('LISTA GESTANTE DO GOOGLE FORMS'!$F48),"",('LISTA GESTANTE DO GOOGLE FORMS'!$F48))</f>
        <v>47 gest</v>
      </c>
      <c r="F48" s="51" t="str">
        <f>IF(ISBLANK('LISTA GESTANTE DO GOOGLE FORMS'!$G48),"",('LISTA GESTANTE DO GOOGLE FORMS'!$G48))</f>
        <v>47 parto</v>
      </c>
      <c r="G48" s="48" t="str">
        <f>IF(ISBLANK('LISTA GESTANTE DO GOOGLE FORMS'!$H48),"",('LISTA GESTANTE DO GOOGLE FORMS'!$H48))</f>
        <v>47 sexo</v>
      </c>
      <c r="H48" s="48" t="str">
        <f>IF(ISBLANK('LISTA GESTANTE DO GOOGLE FORMS'!$I48),"",('LISTA GESTANTE DO GOOGLE FORMS'!$I48))</f>
        <v>47 cpf</v>
      </c>
      <c r="I48" s="48" t="str">
        <f>IF(ISBLANK('LISTA GESTANTE DO GOOGLE FORMS'!$J48),"",('LISTA GESTANTE DO GOOGLE FORMS'!$J48))</f>
        <v>47 identidade</v>
      </c>
      <c r="J48" s="51" t="str">
        <f>IF(ISBLANK('LISTA GESTANTE DO GOOGLE FORMS'!$K48),"",('LISTA GESTANTE DO GOOGLE FORMS'!$K48))</f>
        <v>47 D Nascim</v>
      </c>
      <c r="K48" s="48" t="str">
        <f>IF(ISBLANK('LISTA GESTANTE DO GOOGLE FORMS'!$L48),"",('LISTA GESTANTE DO GOOGLE FORMS'!$L48))</f>
        <v>47 idad</v>
      </c>
      <c r="L48" s="48" t="str">
        <f>IF(ISBLANK('LISTA GESTANTE DO GOOGLE FORMS'!$M48),"",('LISTA GESTANTE DO GOOGLE FORMS'!$M48))</f>
        <v>47 trab</v>
      </c>
      <c r="M48" s="48" t="str">
        <f>IF(ISBLANK('LISTA GESTANTE DO GOOGLE FORMS'!$N48),"",('LISTA GESTANTE DO GOOGLE FORMS'!$N48))</f>
        <v>47 Est Civil</v>
      </c>
      <c r="N48" s="48" t="str">
        <f>IF(ISBLANK('LISTA GESTANTE DO GOOGLE FORMS'!$O48),"",('LISTA GESTANTE DO GOOGLE FORMS'!$O48))</f>
        <v>47 Religiao</v>
      </c>
      <c r="O48" s="48" t="str">
        <f>IF(ISBLANK('LISTA GESTANTE DO GOOGLE FORMS'!$P48),"",('LISTA GESTANTE DO GOOGLE FORMS'!$P48))</f>
        <v>47 Observações</v>
      </c>
      <c r="P48" s="49" t="str">
        <f>IF(ISBLANK('LISTA GESTANTE DO GOOGLE FORMS'!$Q48),"",('LISTA GESTANTE DO GOOGLE FORMS'!$Q48))</f>
        <v>47 Endereço</v>
      </c>
      <c r="Q48" s="49" t="str">
        <f>IF(ISBLANK('LISTA GESTANTE DO GOOGLE FORMS'!$R48),"",('LISTA GESTANTE DO GOOGLE FORMS'!$R48))</f>
        <v>47 Bairro</v>
      </c>
      <c r="R48" s="49" t="str">
        <f>IF(ISBLANK('LISTA GESTANTE DO GOOGLE FORMS'!$S48),"",('LISTA GESTANTE DO GOOGLE FORMS'!$S48))</f>
        <v>47 cidade</v>
      </c>
      <c r="S48" s="49" t="str">
        <f>IF(ISBLANK('LISTA GESTANTE DO GOOGLE FORMS'!$T48),"",('LISTA GESTANTE DO GOOGLE FORMS'!$T48))</f>
        <v>47 nome do pai</v>
      </c>
      <c r="T48" s="48" t="str">
        <f>IF(ISBLANK('LISTA GESTANTE DO GOOGLE FORMS'!$U48),"",('LISTA GESTANTE DO GOOGLE FORMS'!$U48))</f>
        <v>47 NP</v>
      </c>
      <c r="U48" s="48" t="str">
        <f>IF(ISBLANK('LISTA GESTANTE DO GOOGLE FORMS'!$V48),"",('LISTA GESTANTE DO GOOGLE FORMS'!$V48))</f>
        <v>47 Atendim</v>
      </c>
      <c r="V48" s="48" t="str">
        <f>IF(ISBLANK('LISTA GESTANTE DO GOOGLE FORMS'!$W48),"",('LISTA GESTANTE DO GOOGLE FORMS'!$W48))</f>
        <v>47 Beneficio</v>
      </c>
      <c r="W48" s="108" t="str">
        <f>IF(ISBLANK('LISTA GESTANTE DO GOOGLE FORMS'!$X48),"",('LISTA GESTANTE DO GOOGLE FORMS'!$X48))</f>
        <v>47 email</v>
      </c>
      <c r="X48" s="49" t="str">
        <f>IF(ISBLANK('LISTA GESTANTE DO GOOGLE FORMS'!$Y48),"",('LISTA GESTANTE DO GOOGLE FORMS'!$Y48))</f>
        <v>47 joao</v>
      </c>
    </row>
    <row r="49" spans="1:24" ht="26.25" thickBot="1" x14ac:dyDescent="0.3">
      <c r="A49" s="40">
        <f t="shared" si="2"/>
        <v>48</v>
      </c>
      <c r="B49" s="92">
        <f>IF(ISBLANK('LISTA GESTANTE DO GOOGLE FORMS'!$C49),"",('LISTA GESTANTE DO GOOGLE FORMS'!$C49))</f>
        <v>48</v>
      </c>
      <c r="C49" s="49" t="str">
        <f>IF(ISBLANK('LISTA GESTANTE DO GOOGLE FORMS'!$D49),"",('LISTA GESTANTE DO GOOGLE FORMS'!$D49))</f>
        <v>48 nome da gestante</v>
      </c>
      <c r="D49" s="48" t="str">
        <f>IF(ISBLANK('LISTA GESTANTE DO GOOGLE FORMS'!$E49),"",('LISTA GESTANTE DO GOOGLE FORMS'!$E49))</f>
        <v>48 telefone</v>
      </c>
      <c r="E49" s="48" t="str">
        <f>IF(ISBLANK('LISTA GESTANTE DO GOOGLE FORMS'!$F49),"",('LISTA GESTANTE DO GOOGLE FORMS'!$F49))</f>
        <v>48 gest</v>
      </c>
      <c r="F49" s="51" t="str">
        <f>IF(ISBLANK('LISTA GESTANTE DO GOOGLE FORMS'!$G49),"",('LISTA GESTANTE DO GOOGLE FORMS'!$G49))</f>
        <v>48 parto</v>
      </c>
      <c r="G49" s="48" t="str">
        <f>IF(ISBLANK('LISTA GESTANTE DO GOOGLE FORMS'!$H49),"",('LISTA GESTANTE DO GOOGLE FORMS'!$H49))</f>
        <v>48 sexo</v>
      </c>
      <c r="H49" s="48" t="str">
        <f>IF(ISBLANK('LISTA GESTANTE DO GOOGLE FORMS'!$I49),"",('LISTA GESTANTE DO GOOGLE FORMS'!$I49))</f>
        <v>48 cpf</v>
      </c>
      <c r="I49" s="48" t="str">
        <f>IF(ISBLANK('LISTA GESTANTE DO GOOGLE FORMS'!$J49),"",('LISTA GESTANTE DO GOOGLE FORMS'!$J49))</f>
        <v>48 identidade</v>
      </c>
      <c r="J49" s="51" t="str">
        <f>IF(ISBLANK('LISTA GESTANTE DO GOOGLE FORMS'!$K49),"",('LISTA GESTANTE DO GOOGLE FORMS'!$K49))</f>
        <v>48 D Nascim</v>
      </c>
      <c r="K49" s="48" t="str">
        <f>IF(ISBLANK('LISTA GESTANTE DO GOOGLE FORMS'!$L49),"",('LISTA GESTANTE DO GOOGLE FORMS'!$L49))</f>
        <v>48 idad</v>
      </c>
      <c r="L49" s="48" t="str">
        <f>IF(ISBLANK('LISTA GESTANTE DO GOOGLE FORMS'!$M49),"",('LISTA GESTANTE DO GOOGLE FORMS'!$M49))</f>
        <v>48 trab</v>
      </c>
      <c r="M49" s="48" t="str">
        <f>IF(ISBLANK('LISTA GESTANTE DO GOOGLE FORMS'!$N49),"",('LISTA GESTANTE DO GOOGLE FORMS'!$N49))</f>
        <v>48 Est Civil</v>
      </c>
      <c r="N49" s="48" t="str">
        <f>IF(ISBLANK('LISTA GESTANTE DO GOOGLE FORMS'!$O49),"",('LISTA GESTANTE DO GOOGLE FORMS'!$O49))</f>
        <v>48 Religiao</v>
      </c>
      <c r="O49" s="48" t="str">
        <f>IF(ISBLANK('LISTA GESTANTE DO GOOGLE FORMS'!$P49),"",('LISTA GESTANTE DO GOOGLE FORMS'!$P49))</f>
        <v>48 Observações</v>
      </c>
      <c r="P49" s="49" t="str">
        <f>IF(ISBLANK('LISTA GESTANTE DO GOOGLE FORMS'!$Q49),"",('LISTA GESTANTE DO GOOGLE FORMS'!$Q49))</f>
        <v>48 Endereço</v>
      </c>
      <c r="Q49" s="49" t="str">
        <f>IF(ISBLANK('LISTA GESTANTE DO GOOGLE FORMS'!$R49),"",('LISTA GESTANTE DO GOOGLE FORMS'!$R49))</f>
        <v>48 Bairro</v>
      </c>
      <c r="R49" s="49" t="str">
        <f>IF(ISBLANK('LISTA GESTANTE DO GOOGLE FORMS'!$S49),"",('LISTA GESTANTE DO GOOGLE FORMS'!$S49))</f>
        <v>48 cidade</v>
      </c>
      <c r="S49" s="49" t="str">
        <f>IF(ISBLANK('LISTA GESTANTE DO GOOGLE FORMS'!$T49),"",('LISTA GESTANTE DO GOOGLE FORMS'!$T49))</f>
        <v>48 nome do pai</v>
      </c>
      <c r="T49" s="48" t="str">
        <f>IF(ISBLANK('LISTA GESTANTE DO GOOGLE FORMS'!$U49),"",('LISTA GESTANTE DO GOOGLE FORMS'!$U49))</f>
        <v>48 NP</v>
      </c>
      <c r="U49" s="48" t="str">
        <f>IF(ISBLANK('LISTA GESTANTE DO GOOGLE FORMS'!$V49),"",('LISTA GESTANTE DO GOOGLE FORMS'!$V49))</f>
        <v>48 Atendim</v>
      </c>
      <c r="V49" s="48" t="str">
        <f>IF(ISBLANK('LISTA GESTANTE DO GOOGLE FORMS'!$W49),"",('LISTA GESTANTE DO GOOGLE FORMS'!$W49))</f>
        <v>48 Beneficio</v>
      </c>
      <c r="W49" s="108" t="str">
        <f>IF(ISBLANK('LISTA GESTANTE DO GOOGLE FORMS'!$X49),"",('LISTA GESTANTE DO GOOGLE FORMS'!$X49))</f>
        <v>48 email</v>
      </c>
      <c r="X49" s="49" t="str">
        <f>IF(ISBLANK('LISTA GESTANTE DO GOOGLE FORMS'!$Y49),"",('LISTA GESTANTE DO GOOGLE FORMS'!$Y49))</f>
        <v>48 joao</v>
      </c>
    </row>
    <row r="50" spans="1:24" ht="26.25" thickBot="1" x14ac:dyDescent="0.3">
      <c r="A50" s="40">
        <f t="shared" si="2"/>
        <v>49</v>
      </c>
      <c r="B50" s="92">
        <f>IF(ISBLANK('LISTA GESTANTE DO GOOGLE FORMS'!$C50),"",('LISTA GESTANTE DO GOOGLE FORMS'!$C50))</f>
        <v>49</v>
      </c>
      <c r="C50" s="49" t="str">
        <f>IF(ISBLANK('LISTA GESTANTE DO GOOGLE FORMS'!$D50),"",('LISTA GESTANTE DO GOOGLE FORMS'!$D50))</f>
        <v>49 nome da gestante</v>
      </c>
      <c r="D50" s="48" t="str">
        <f>IF(ISBLANK('LISTA GESTANTE DO GOOGLE FORMS'!$E50),"",('LISTA GESTANTE DO GOOGLE FORMS'!$E50))</f>
        <v>49 telefone</v>
      </c>
      <c r="E50" s="48" t="str">
        <f>IF(ISBLANK('LISTA GESTANTE DO GOOGLE FORMS'!$F50),"",('LISTA GESTANTE DO GOOGLE FORMS'!$F50))</f>
        <v>49 gest</v>
      </c>
      <c r="F50" s="51" t="str">
        <f>IF(ISBLANK('LISTA GESTANTE DO GOOGLE FORMS'!$G50),"",('LISTA GESTANTE DO GOOGLE FORMS'!$G50))</f>
        <v>49 parto</v>
      </c>
      <c r="G50" s="48" t="str">
        <f>IF(ISBLANK('LISTA GESTANTE DO GOOGLE FORMS'!$H50),"",('LISTA GESTANTE DO GOOGLE FORMS'!$H50))</f>
        <v>49 sexo</v>
      </c>
      <c r="H50" s="48" t="str">
        <f>IF(ISBLANK('LISTA GESTANTE DO GOOGLE FORMS'!$I50),"",('LISTA GESTANTE DO GOOGLE FORMS'!$I50))</f>
        <v>49 cpf</v>
      </c>
      <c r="I50" s="48" t="str">
        <f>IF(ISBLANK('LISTA GESTANTE DO GOOGLE FORMS'!$J50),"",('LISTA GESTANTE DO GOOGLE FORMS'!$J50))</f>
        <v>49 identidade</v>
      </c>
      <c r="J50" s="51" t="str">
        <f>IF(ISBLANK('LISTA GESTANTE DO GOOGLE FORMS'!$K50),"",('LISTA GESTANTE DO GOOGLE FORMS'!$K50))</f>
        <v>49 D Nascim</v>
      </c>
      <c r="K50" s="48" t="str">
        <f>IF(ISBLANK('LISTA GESTANTE DO GOOGLE FORMS'!$L50),"",('LISTA GESTANTE DO GOOGLE FORMS'!$L50))</f>
        <v>49 idad</v>
      </c>
      <c r="L50" s="48" t="str">
        <f>IF(ISBLANK('LISTA GESTANTE DO GOOGLE FORMS'!$M50),"",('LISTA GESTANTE DO GOOGLE FORMS'!$M50))</f>
        <v>49 trab</v>
      </c>
      <c r="M50" s="48" t="str">
        <f>IF(ISBLANK('LISTA GESTANTE DO GOOGLE FORMS'!$N50),"",('LISTA GESTANTE DO GOOGLE FORMS'!$N50))</f>
        <v>49 Est Civil</v>
      </c>
      <c r="N50" s="48" t="str">
        <f>IF(ISBLANK('LISTA GESTANTE DO GOOGLE FORMS'!$O50),"",('LISTA GESTANTE DO GOOGLE FORMS'!$O50))</f>
        <v>49 Religiao</v>
      </c>
      <c r="O50" s="48" t="str">
        <f>IF(ISBLANK('LISTA GESTANTE DO GOOGLE FORMS'!$P50),"",('LISTA GESTANTE DO GOOGLE FORMS'!$P50))</f>
        <v>49 Observações</v>
      </c>
      <c r="P50" s="49" t="str">
        <f>IF(ISBLANK('LISTA GESTANTE DO GOOGLE FORMS'!$Q50),"",('LISTA GESTANTE DO GOOGLE FORMS'!$Q50))</f>
        <v>49 Endereço</v>
      </c>
      <c r="Q50" s="49" t="str">
        <f>IF(ISBLANK('LISTA GESTANTE DO GOOGLE FORMS'!$R50),"",('LISTA GESTANTE DO GOOGLE FORMS'!$R50))</f>
        <v>49 Bairro</v>
      </c>
      <c r="R50" s="49" t="str">
        <f>IF(ISBLANK('LISTA GESTANTE DO GOOGLE FORMS'!$S50),"",('LISTA GESTANTE DO GOOGLE FORMS'!$S50))</f>
        <v>49 cidade</v>
      </c>
      <c r="S50" s="49" t="str">
        <f>IF(ISBLANK('LISTA GESTANTE DO GOOGLE FORMS'!$T50),"",('LISTA GESTANTE DO GOOGLE FORMS'!$T50))</f>
        <v>49 nome do pai</v>
      </c>
      <c r="T50" s="48" t="str">
        <f>IF(ISBLANK('LISTA GESTANTE DO GOOGLE FORMS'!$U50),"",('LISTA GESTANTE DO GOOGLE FORMS'!$U50))</f>
        <v>49 NP</v>
      </c>
      <c r="U50" s="48" t="str">
        <f>IF(ISBLANK('LISTA GESTANTE DO GOOGLE FORMS'!$V50),"",('LISTA GESTANTE DO GOOGLE FORMS'!$V50))</f>
        <v>49 Atendim</v>
      </c>
      <c r="V50" s="48" t="str">
        <f>IF(ISBLANK('LISTA GESTANTE DO GOOGLE FORMS'!$W50),"",('LISTA GESTANTE DO GOOGLE FORMS'!$W50))</f>
        <v>49 Beneficio</v>
      </c>
      <c r="W50" s="108" t="str">
        <f>IF(ISBLANK('LISTA GESTANTE DO GOOGLE FORMS'!$X50),"",('LISTA GESTANTE DO GOOGLE FORMS'!$X50))</f>
        <v>49 email</v>
      </c>
      <c r="X50" s="49" t="str">
        <f>IF(ISBLANK('LISTA GESTANTE DO GOOGLE FORMS'!$Y50),"",('LISTA GESTANTE DO GOOGLE FORMS'!$Y50))</f>
        <v>49 joao</v>
      </c>
    </row>
    <row r="52" spans="1:24" x14ac:dyDescent="0.25">
      <c r="C52" s="113"/>
      <c r="D52" s="113"/>
      <c r="E52" s="2"/>
    </row>
    <row r="53" spans="1:24" x14ac:dyDescent="0.25">
      <c r="Q53" t="s">
        <v>27</v>
      </c>
    </row>
  </sheetData>
  <sortState xmlns:xlrd2="http://schemas.microsoft.com/office/spreadsheetml/2017/richdata2" ref="B2:X41">
    <sortCondition ref="C2:C41"/>
  </sortState>
  <mergeCells count="1">
    <mergeCell ref="C52:D52"/>
  </mergeCells>
  <conditionalFormatting sqref="O1:S1 O51:S1048576">
    <cfRule type="notContainsBlanks" dxfId="3" priority="2">
      <formula>LEN(TRIM(O1))&gt;0</formula>
    </cfRule>
  </conditionalFormatting>
  <hyperlinks>
    <hyperlink ref="W2" r:id="rId1" display="josecarlos1990@gmail.com" xr:uid="{24E3C40C-7D6B-451D-BF7E-BB602332E3BF}"/>
  </hyperlinks>
  <pageMargins left="0.19685039370078741" right="0.19685039370078741" top="0.31496062992125984" bottom="0.19685039370078741" header="0.19685039370078741" footer="0.11811023622047245"/>
  <pageSetup paperSize="9" orientation="landscape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8"/>
  <sheetViews>
    <sheetView tabSelected="1" zoomScaleNormal="100" workbookViewId="0">
      <selection activeCell="E3" sqref="E3"/>
    </sheetView>
  </sheetViews>
  <sheetFormatPr defaultRowHeight="15" x14ac:dyDescent="0.25"/>
  <cols>
    <col min="1" max="1" width="0.85546875" customWidth="1"/>
    <col min="2" max="2" width="20.7109375" customWidth="1"/>
    <col min="3" max="3" width="19.7109375" customWidth="1"/>
    <col min="4" max="5" width="26.7109375" customWidth="1"/>
    <col min="8" max="8" width="11" bestFit="1" customWidth="1"/>
    <col min="9" max="9" width="13.85546875" customWidth="1"/>
    <col min="10" max="10" width="21.5703125" customWidth="1"/>
  </cols>
  <sheetData>
    <row r="1" spans="2:5" ht="22.5" customHeight="1" x14ac:dyDescent="0.25">
      <c r="B1" s="144"/>
      <c r="C1" s="134" t="s">
        <v>24</v>
      </c>
      <c r="D1" s="134"/>
      <c r="E1" s="135"/>
    </row>
    <row r="2" spans="2:5" ht="22.5" customHeight="1" x14ac:dyDescent="0.25">
      <c r="B2" s="145"/>
      <c r="C2" s="132" t="s">
        <v>44</v>
      </c>
      <c r="D2" s="132"/>
      <c r="E2" s="133"/>
    </row>
    <row r="3" spans="2:5" ht="20.25" customHeight="1" x14ac:dyDescent="0.25">
      <c r="B3" s="146"/>
      <c r="C3" s="125" t="s">
        <v>45</v>
      </c>
      <c r="D3" s="126"/>
      <c r="E3" s="82"/>
    </row>
    <row r="4" spans="2:5" ht="25.5" customHeight="1" x14ac:dyDescent="0.25">
      <c r="B4" s="12" t="s">
        <v>6</v>
      </c>
      <c r="C4" s="136"/>
      <c r="D4" s="136"/>
      <c r="E4" s="137"/>
    </row>
    <row r="5" spans="2:5" ht="20.25" customHeight="1" x14ac:dyDescent="0.25">
      <c r="B5" s="149" t="s">
        <v>7</v>
      </c>
      <c r="C5" s="175" t="s">
        <v>8</v>
      </c>
      <c r="D5" s="147"/>
      <c r="E5" s="148"/>
    </row>
    <row r="6" spans="2:5" ht="20.25" customHeight="1" x14ac:dyDescent="0.25">
      <c r="B6" s="149"/>
      <c r="C6" s="176" t="s">
        <v>9</v>
      </c>
      <c r="D6" s="130"/>
      <c r="E6" s="131"/>
    </row>
    <row r="7" spans="2:5" ht="20.25" customHeight="1" x14ac:dyDescent="0.3">
      <c r="B7" s="149"/>
      <c r="C7" s="175" t="s">
        <v>10</v>
      </c>
      <c r="D7" s="13"/>
      <c r="E7" s="104"/>
    </row>
    <row r="8" spans="2:5" ht="20.25" customHeight="1" x14ac:dyDescent="0.25">
      <c r="B8" s="114" t="s">
        <v>11</v>
      </c>
      <c r="C8" s="175" t="s">
        <v>12</v>
      </c>
      <c r="D8" s="117"/>
      <c r="E8" s="118"/>
    </row>
    <row r="9" spans="2:5" ht="34.5" customHeight="1" x14ac:dyDescent="0.25">
      <c r="B9" s="115"/>
      <c r="C9" s="175" t="s">
        <v>3</v>
      </c>
      <c r="D9" s="119"/>
      <c r="E9" s="120"/>
    </row>
    <row r="10" spans="2:5" ht="20.25" customHeight="1" x14ac:dyDescent="0.25">
      <c r="B10" s="115"/>
      <c r="C10" s="175" t="s">
        <v>4</v>
      </c>
      <c r="D10" s="121"/>
      <c r="E10" s="122"/>
    </row>
    <row r="11" spans="2:5" ht="20.25" customHeight="1" x14ac:dyDescent="0.25">
      <c r="B11" s="115"/>
      <c r="C11" s="175" t="s">
        <v>5</v>
      </c>
      <c r="D11" s="121"/>
      <c r="E11" s="122"/>
    </row>
    <row r="12" spans="2:5" ht="20.25" customHeight="1" x14ac:dyDescent="0.25">
      <c r="B12" s="115"/>
      <c r="C12" s="177" t="s">
        <v>63</v>
      </c>
      <c r="D12" s="121"/>
      <c r="E12" s="122"/>
    </row>
    <row r="13" spans="2:5" ht="20.25" customHeight="1" x14ac:dyDescent="0.25">
      <c r="B13" s="115"/>
      <c r="C13" s="175" t="s">
        <v>2</v>
      </c>
      <c r="D13" s="121"/>
      <c r="E13" s="122"/>
    </row>
    <row r="14" spans="2:5" ht="20.25" customHeight="1" x14ac:dyDescent="0.25">
      <c r="B14" s="115"/>
      <c r="C14" s="175" t="s">
        <v>84</v>
      </c>
      <c r="D14" s="121"/>
      <c r="E14" s="122"/>
    </row>
    <row r="15" spans="2:5" ht="27.75" customHeight="1" x14ac:dyDescent="0.25">
      <c r="B15" s="115"/>
      <c r="C15" s="175" t="s">
        <v>90</v>
      </c>
      <c r="D15" s="121"/>
      <c r="E15" s="122"/>
    </row>
    <row r="16" spans="2:5" ht="27.75" customHeight="1" x14ac:dyDescent="0.25">
      <c r="B16" s="115"/>
      <c r="C16" s="178" t="s">
        <v>91</v>
      </c>
      <c r="D16" s="121"/>
      <c r="E16" s="122"/>
    </row>
    <row r="17" spans="2:13" ht="27.75" customHeight="1" x14ac:dyDescent="0.25">
      <c r="B17" s="115"/>
      <c r="C17" s="175" t="s">
        <v>88</v>
      </c>
      <c r="D17" s="117"/>
      <c r="E17" s="118"/>
    </row>
    <row r="18" spans="2:13" ht="20.25" customHeight="1" x14ac:dyDescent="0.25">
      <c r="B18" s="116"/>
      <c r="C18" s="175" t="s">
        <v>92</v>
      </c>
      <c r="D18" s="117"/>
      <c r="E18" s="118"/>
    </row>
    <row r="19" spans="2:13" ht="20.25" customHeight="1" x14ac:dyDescent="0.25">
      <c r="B19" s="114" t="s">
        <v>89</v>
      </c>
      <c r="C19" s="175" t="s">
        <v>16</v>
      </c>
      <c r="D19" s="121"/>
      <c r="E19" s="122"/>
    </row>
    <row r="20" spans="2:13" ht="20.25" customHeight="1" x14ac:dyDescent="0.25">
      <c r="B20" s="115"/>
      <c r="C20" s="175" t="s">
        <v>13</v>
      </c>
      <c r="D20" s="123" t="s">
        <v>14</v>
      </c>
      <c r="E20" s="124"/>
    </row>
    <row r="21" spans="2:13" ht="20.25" customHeight="1" x14ac:dyDescent="0.25">
      <c r="B21" s="115"/>
      <c r="C21" s="179" t="s">
        <v>15</v>
      </c>
      <c r="D21" s="121"/>
      <c r="E21" s="122"/>
    </row>
    <row r="22" spans="2:13" ht="20.25" customHeight="1" x14ac:dyDescent="0.25">
      <c r="B22" s="116"/>
      <c r="C22" s="175" t="s">
        <v>17</v>
      </c>
      <c r="D22" s="121"/>
      <c r="E22" s="122"/>
    </row>
    <row r="23" spans="2:13" ht="90" customHeight="1" x14ac:dyDescent="0.25">
      <c r="B23" s="46" t="s">
        <v>85</v>
      </c>
      <c r="C23" s="150"/>
      <c r="D23" s="151"/>
      <c r="E23" s="152"/>
    </row>
    <row r="24" spans="2:13" ht="102" customHeight="1" x14ac:dyDescent="0.25">
      <c r="B24" s="138" t="s">
        <v>25</v>
      </c>
      <c r="C24" s="139"/>
      <c r="D24" s="139"/>
      <c r="E24" s="140"/>
    </row>
    <row r="25" spans="2:13" ht="29.25" customHeight="1" x14ac:dyDescent="0.25">
      <c r="B25" s="127" t="s">
        <v>23</v>
      </c>
      <c r="C25" s="128"/>
      <c r="D25" s="128"/>
      <c r="E25" s="129"/>
    </row>
    <row r="26" spans="2:13" ht="15.75" customHeight="1" x14ac:dyDescent="0.25">
      <c r="B26" s="141">
        <f>C4</f>
        <v>0</v>
      </c>
      <c r="C26" s="142"/>
      <c r="D26" s="142"/>
      <c r="E26" s="143"/>
    </row>
    <row r="27" spans="2:13" ht="36.75" customHeight="1" x14ac:dyDescent="0.25">
      <c r="B27" s="14" t="s">
        <v>19</v>
      </c>
      <c r="C27" s="153" t="s">
        <v>20</v>
      </c>
      <c r="D27" s="154"/>
      <c r="E27" s="155"/>
      <c r="M27" s="174"/>
    </row>
    <row r="28" spans="2:13" ht="36.75" customHeight="1" thickBot="1" x14ac:dyDescent="0.3">
      <c r="B28" s="15" t="s">
        <v>21</v>
      </c>
      <c r="C28" s="156" t="s">
        <v>46</v>
      </c>
      <c r="D28" s="157"/>
      <c r="E28" s="158"/>
    </row>
  </sheetData>
  <mergeCells count="31">
    <mergeCell ref="C27:E27"/>
    <mergeCell ref="C28:E28"/>
    <mergeCell ref="D17:E17"/>
    <mergeCell ref="D18:E18"/>
    <mergeCell ref="B8:B18"/>
    <mergeCell ref="B19:B22"/>
    <mergeCell ref="D9:E9"/>
    <mergeCell ref="D10:E10"/>
    <mergeCell ref="D11:E11"/>
    <mergeCell ref="D13:E13"/>
    <mergeCell ref="C1:E1"/>
    <mergeCell ref="C2:E2"/>
    <mergeCell ref="C4:E4"/>
    <mergeCell ref="B5:B7"/>
    <mergeCell ref="D5:E5"/>
    <mergeCell ref="D6:E6"/>
    <mergeCell ref="D8:E8"/>
    <mergeCell ref="C23:E23"/>
    <mergeCell ref="B24:E24"/>
    <mergeCell ref="B26:E26"/>
    <mergeCell ref="D12:E12"/>
    <mergeCell ref="D15:E15"/>
    <mergeCell ref="D14:E14"/>
    <mergeCell ref="B25:E25"/>
    <mergeCell ref="D19:E19"/>
    <mergeCell ref="D16:E16"/>
    <mergeCell ref="D21:E21"/>
    <mergeCell ref="D22:E22"/>
    <mergeCell ref="D20:E20"/>
    <mergeCell ref="C3:D3"/>
    <mergeCell ref="B1:B3"/>
  </mergeCells>
  <conditionalFormatting sqref="C23:E23">
    <cfRule type="notContainsBlanks" dxfId="2" priority="2">
      <formula>LEN(TRIM(C23))&gt;0</formula>
    </cfRule>
  </conditionalFormatting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4294967292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7"/>
  <sheetViews>
    <sheetView topLeftCell="A8" zoomScaleNormal="100" workbookViewId="0">
      <selection activeCell="C4" sqref="C4"/>
    </sheetView>
  </sheetViews>
  <sheetFormatPr defaultRowHeight="15" x14ac:dyDescent="0.25"/>
  <cols>
    <col min="1" max="1" width="3.7109375" customWidth="1"/>
    <col min="2" max="2" width="15.140625" style="3" customWidth="1"/>
    <col min="3" max="3" width="32.85546875" style="1" customWidth="1"/>
    <col min="4" max="4" width="14" customWidth="1"/>
    <col min="5" max="5" width="6.7109375" customWidth="1"/>
    <col min="6" max="6" width="10.28515625" customWidth="1"/>
    <col min="7" max="7" width="7.42578125" customWidth="1"/>
    <col min="8" max="8" width="52.7109375" customWidth="1"/>
    <col min="10" max="10" width="10.7109375" bestFit="1" customWidth="1"/>
  </cols>
  <sheetData>
    <row r="1" spans="1:28" ht="27.75" customHeight="1" x14ac:dyDescent="0.25">
      <c r="A1" s="159"/>
      <c r="B1" s="160"/>
      <c r="C1" s="167" t="s">
        <v>32</v>
      </c>
      <c r="D1" s="167"/>
      <c r="E1" s="167"/>
      <c r="F1" s="167"/>
      <c r="G1" s="167"/>
      <c r="H1" s="168"/>
      <c r="I1" s="35"/>
      <c r="AA1" s="6"/>
      <c r="AB1" s="6"/>
    </row>
    <row r="2" spans="1:28" ht="16.5" customHeight="1" thickBot="1" x14ac:dyDescent="0.3">
      <c r="A2" s="161"/>
      <c r="B2" s="162"/>
      <c r="C2" s="169" t="s">
        <v>33</v>
      </c>
      <c r="D2" s="169"/>
      <c r="E2" s="169"/>
      <c r="F2" s="169"/>
      <c r="G2" s="169"/>
      <c r="H2" s="170"/>
      <c r="I2" s="3"/>
    </row>
    <row r="3" spans="1:28" ht="21.75" customHeight="1" thickBot="1" x14ac:dyDescent="0.35">
      <c r="A3" s="163"/>
      <c r="B3" s="164"/>
      <c r="C3" s="171" t="s">
        <v>31</v>
      </c>
      <c r="D3" s="171"/>
      <c r="E3" s="171"/>
      <c r="F3" s="171"/>
      <c r="G3" s="172"/>
      <c r="H3" s="17" t="s">
        <v>42</v>
      </c>
      <c r="I3" s="36"/>
    </row>
    <row r="4" spans="1:28" ht="55.5" customHeight="1" x14ac:dyDescent="0.25">
      <c r="A4" s="22" t="s">
        <v>22</v>
      </c>
      <c r="B4" s="96" t="s">
        <v>0</v>
      </c>
      <c r="C4" s="95" t="s">
        <v>57</v>
      </c>
      <c r="D4" s="97" t="s">
        <v>58</v>
      </c>
      <c r="E4" s="98" t="s">
        <v>56</v>
      </c>
      <c r="F4" s="99" t="s">
        <v>59</v>
      </c>
      <c r="G4" s="100" t="s">
        <v>60</v>
      </c>
      <c r="H4" s="101" t="s">
        <v>18</v>
      </c>
      <c r="AA4" s="10"/>
      <c r="AB4" s="10"/>
    </row>
    <row r="5" spans="1:28" ht="16.5" customHeight="1" x14ac:dyDescent="0.25">
      <c r="A5" s="21">
        <v>1</v>
      </c>
      <c r="B5" s="43">
        <f>IF(ISBLANK('LISTA DE CADASTRO'!$B2),"",'LISTA DE CADASTRO'!$B2)</f>
        <v>45902.368726851855</v>
      </c>
      <c r="C5" s="53" t="str">
        <f>IF(ISBLANK('LISTA DE CADASTRO'!$C2),"",'LISTA DE CADASTRO'!$C2)</f>
        <v xml:space="preserve">Stephanie Lorrayne dos Santos Freitas </v>
      </c>
      <c r="D5" s="16" t="str">
        <f>IF(ISBLANK('LISTA DE CADASTRO'!$D2),"",'LISTA DE CADASTRO'!$D2)</f>
        <v xml:space="preserve">(31) 99282-4775 </v>
      </c>
      <c r="E5" s="43" t="str">
        <f>IF(ISBLANK('LISTA DE CADASTRO'!$E2),"",'LISTA DE CADASTRO'!$E2)</f>
        <v>7º Mês</v>
      </c>
      <c r="F5" s="42">
        <f>IF(ISBLANK('LISTA DE CADASTRO'!$F2),"",'LISTA DE CADASTRO'!$F2)</f>
        <v>45969</v>
      </c>
      <c r="G5" s="43" t="str">
        <f>IF(ISBLANK('LISTA DE CADASTRO'!$G2),"",'LISTA DE CADASTRO'!$G2)</f>
        <v>Menina</v>
      </c>
      <c r="H5" s="45">
        <f>IF(ISBLANK('LISTA DE CADASTRO'!$J2),"",'LISTA DE CADASTRO'!$J2)</f>
        <v>36883</v>
      </c>
      <c r="AA5" s="11"/>
      <c r="AB5" s="11"/>
    </row>
    <row r="6" spans="1:28" ht="16.5" customHeight="1" x14ac:dyDescent="0.25">
      <c r="A6" s="21">
        <f t="shared" ref="A6:A44" si="0">A5+1</f>
        <v>2</v>
      </c>
      <c r="B6" s="43">
        <f>IF(ISBLANK('LISTA DE CADASTRO'!$B3),"",'LISTA DE CADASTRO'!$B3)</f>
        <v>2</v>
      </c>
      <c r="C6" s="53" t="str">
        <f>IF(ISBLANK('LISTA DE CADASTRO'!$C3),"",'LISTA DE CADASTRO'!$C3)</f>
        <v>2 nome da gestante</v>
      </c>
      <c r="D6" s="16" t="str">
        <f>IF(ISBLANK('LISTA DE CADASTRO'!$D3),"",'LISTA DE CADASTRO'!$D3)</f>
        <v>2 telefone</v>
      </c>
      <c r="E6" s="43" t="str">
        <f>IF(ISBLANK('LISTA DE CADASTRO'!$E3),"",'LISTA DE CADASTRO'!$E3)</f>
        <v>2 gest</v>
      </c>
      <c r="F6" s="42" t="str">
        <f>IF(ISBLANK('LISTA DE CADASTRO'!$F3),"",'LISTA DE CADASTRO'!$F3)</f>
        <v>2 parto</v>
      </c>
      <c r="G6" s="43" t="str">
        <f>IF(ISBLANK('LISTA DE CADASTRO'!$G3),"",'LISTA DE CADASTRO'!$G3)</f>
        <v>2 sexo</v>
      </c>
      <c r="H6" s="45" t="str">
        <f>IF(ISBLANK('LISTA DE CADASTRO'!$J3),"",'LISTA DE CADASTRO'!$J3)</f>
        <v>2 D Nascim</v>
      </c>
      <c r="AA6" s="11"/>
      <c r="AB6" s="11"/>
    </row>
    <row r="7" spans="1:28" ht="16.5" customHeight="1" x14ac:dyDescent="0.25">
      <c r="A7" s="21">
        <f t="shared" si="0"/>
        <v>3</v>
      </c>
      <c r="B7" s="43">
        <f>IF(ISBLANK('LISTA DE CADASTRO'!$B4),"",'LISTA DE CADASTRO'!$B4)</f>
        <v>3</v>
      </c>
      <c r="C7" s="53" t="str">
        <f>IF(ISBLANK('LISTA DE CADASTRO'!$C4),"",'LISTA DE CADASTRO'!$C4)</f>
        <v>3 nome da gestante</v>
      </c>
      <c r="D7" s="16" t="str">
        <f>IF(ISBLANK('LISTA DE CADASTRO'!$D4),"",'LISTA DE CADASTRO'!$D4)</f>
        <v>3 telefone</v>
      </c>
      <c r="E7" s="43" t="str">
        <f>IF(ISBLANK('LISTA DE CADASTRO'!$E4),"",'LISTA DE CADASTRO'!$E4)</f>
        <v>3 gest</v>
      </c>
      <c r="F7" s="42" t="str">
        <f>IF(ISBLANK('LISTA DE CADASTRO'!$F4),"",'LISTA DE CADASTRO'!$F4)</f>
        <v>3 parto</v>
      </c>
      <c r="G7" s="43" t="str">
        <f>IF(ISBLANK('LISTA DE CADASTRO'!$G4),"",'LISTA DE CADASTRO'!$G4)</f>
        <v>3 sexo</v>
      </c>
      <c r="H7" s="45" t="str">
        <f>IF(ISBLANK('LISTA DE CADASTRO'!$J4),"",'LISTA DE CADASTRO'!$J4)</f>
        <v>3 D Nascim</v>
      </c>
      <c r="AA7" s="11"/>
      <c r="AB7" s="11"/>
    </row>
    <row r="8" spans="1:28" ht="16.5" customHeight="1" x14ac:dyDescent="0.25">
      <c r="A8" s="21">
        <f t="shared" si="0"/>
        <v>4</v>
      </c>
      <c r="B8" s="43">
        <f>IF(ISBLANK('LISTA DE CADASTRO'!$B5),"",'LISTA DE CADASTRO'!$B5)</f>
        <v>4</v>
      </c>
      <c r="C8" s="53" t="str">
        <f>IF(ISBLANK('LISTA DE CADASTRO'!$C5),"",'LISTA DE CADASTRO'!$C5)</f>
        <v>4 nome da gestante</v>
      </c>
      <c r="D8" s="16" t="str">
        <f>IF(ISBLANK('LISTA DE CADASTRO'!$D5),"",'LISTA DE CADASTRO'!$D5)</f>
        <v>4 telefone</v>
      </c>
      <c r="E8" s="43" t="str">
        <f>IF(ISBLANK('LISTA DE CADASTRO'!$E5),"",'LISTA DE CADASTRO'!$E5)</f>
        <v>4 gest</v>
      </c>
      <c r="F8" s="42" t="str">
        <f>IF(ISBLANK('LISTA DE CADASTRO'!$F5),"",'LISTA DE CADASTRO'!$F5)</f>
        <v>4 parto</v>
      </c>
      <c r="G8" s="43" t="str">
        <f>IF(ISBLANK('LISTA DE CADASTRO'!$G5),"",'LISTA DE CADASTRO'!$G5)</f>
        <v>4 sexo</v>
      </c>
      <c r="H8" s="45" t="str">
        <f>IF(ISBLANK('LISTA DE CADASTRO'!$J5),"",'LISTA DE CADASTRO'!$J5)</f>
        <v>4 D Nascim</v>
      </c>
      <c r="AA8" s="11"/>
      <c r="AB8" s="11"/>
    </row>
    <row r="9" spans="1:28" ht="16.5" customHeight="1" x14ac:dyDescent="0.25">
      <c r="A9" s="21">
        <f t="shared" si="0"/>
        <v>5</v>
      </c>
      <c r="B9" s="43">
        <f>IF(ISBLANK('LISTA DE CADASTRO'!$B6),"",'LISTA DE CADASTRO'!$B6)</f>
        <v>5</v>
      </c>
      <c r="C9" s="53" t="str">
        <f>IF(ISBLANK('LISTA DE CADASTRO'!$C6),"",'LISTA DE CADASTRO'!$C6)</f>
        <v>5 nome da gestante</v>
      </c>
      <c r="D9" s="16" t="str">
        <f>IF(ISBLANK('LISTA DE CADASTRO'!$D6),"",'LISTA DE CADASTRO'!$D6)</f>
        <v>5 telefone</v>
      </c>
      <c r="E9" s="43" t="str">
        <f>IF(ISBLANK('LISTA DE CADASTRO'!$E6),"",'LISTA DE CADASTRO'!$E6)</f>
        <v>5 gest</v>
      </c>
      <c r="F9" s="42" t="str">
        <f>IF(ISBLANK('LISTA DE CADASTRO'!$F6),"",'LISTA DE CADASTRO'!$F6)</f>
        <v>5 parto</v>
      </c>
      <c r="G9" s="43" t="str">
        <f>IF(ISBLANK('LISTA DE CADASTRO'!$G6),"",'LISTA DE CADASTRO'!$G6)</f>
        <v>5 sexo</v>
      </c>
      <c r="H9" s="45" t="str">
        <f>IF(ISBLANK('LISTA DE CADASTRO'!$J6),"",'LISTA DE CADASTRO'!$J6)</f>
        <v>5 D Nascim</v>
      </c>
      <c r="AA9" s="11"/>
      <c r="AB9" s="11"/>
    </row>
    <row r="10" spans="1:28" ht="16.5" customHeight="1" x14ac:dyDescent="0.25">
      <c r="A10" s="21">
        <f t="shared" si="0"/>
        <v>6</v>
      </c>
      <c r="B10" s="43">
        <f>IF(ISBLANK('LISTA DE CADASTRO'!$B7),"",'LISTA DE CADASTRO'!$B7)</f>
        <v>6</v>
      </c>
      <c r="C10" s="53" t="str">
        <f>IF(ISBLANK('LISTA DE CADASTRO'!$C7),"",'LISTA DE CADASTRO'!$C7)</f>
        <v>6 nome da gestante</v>
      </c>
      <c r="D10" s="16" t="str">
        <f>IF(ISBLANK('LISTA DE CADASTRO'!$D7),"",'LISTA DE CADASTRO'!$D7)</f>
        <v>6 telefone</v>
      </c>
      <c r="E10" s="43" t="str">
        <f>IF(ISBLANK('LISTA DE CADASTRO'!$E7),"",'LISTA DE CADASTRO'!$E7)</f>
        <v>6 gest</v>
      </c>
      <c r="F10" s="42" t="str">
        <f>IF(ISBLANK('LISTA DE CADASTRO'!$F7),"",'LISTA DE CADASTRO'!$F7)</f>
        <v>6 parto</v>
      </c>
      <c r="G10" s="43" t="str">
        <f>IF(ISBLANK('LISTA DE CADASTRO'!$G7),"",'LISTA DE CADASTRO'!$G7)</f>
        <v>6 sexo</v>
      </c>
      <c r="H10" s="45" t="str">
        <f>IF(ISBLANK('LISTA DE CADASTRO'!$J7),"",'LISTA DE CADASTRO'!$J7)</f>
        <v>6 D Nascim</v>
      </c>
      <c r="AA10" s="11"/>
      <c r="AB10" s="11"/>
    </row>
    <row r="11" spans="1:28" ht="16.5" customHeight="1" x14ac:dyDescent="0.25">
      <c r="A11" s="44">
        <f t="shared" si="0"/>
        <v>7</v>
      </c>
      <c r="B11" s="43">
        <f>IF(ISBLANK('LISTA DE CADASTRO'!$B8),"",'LISTA DE CADASTRO'!$B8)</f>
        <v>7</v>
      </c>
      <c r="C11" s="53" t="str">
        <f>IF(ISBLANK('LISTA DE CADASTRO'!$C8),"",'LISTA DE CADASTRO'!$C8)</f>
        <v>7 nome da gestante</v>
      </c>
      <c r="D11" s="16" t="str">
        <f>IF(ISBLANK('LISTA DE CADASTRO'!$D8),"",'LISTA DE CADASTRO'!$D8)</f>
        <v>7 telefone</v>
      </c>
      <c r="E11" s="43" t="str">
        <f>IF(ISBLANK('LISTA DE CADASTRO'!$E8),"",'LISTA DE CADASTRO'!$E8)</f>
        <v>7 gest</v>
      </c>
      <c r="F11" s="42" t="str">
        <f>IF(ISBLANK('LISTA DE CADASTRO'!$F8),"",'LISTA DE CADASTRO'!$F8)</f>
        <v>7 parto</v>
      </c>
      <c r="G11" s="43" t="str">
        <f>IF(ISBLANK('LISTA DE CADASTRO'!$G8),"",'LISTA DE CADASTRO'!$G8)</f>
        <v>7 sexo</v>
      </c>
      <c r="H11" s="45" t="str">
        <f>IF(ISBLANK('LISTA DE CADASTRO'!$J8),"",'LISTA DE CADASTRO'!$J8)</f>
        <v>7 D Nascim</v>
      </c>
      <c r="I11" s="7"/>
      <c r="AA11" s="10"/>
      <c r="AB11" s="10"/>
    </row>
    <row r="12" spans="1:28" ht="16.5" customHeight="1" x14ac:dyDescent="0.25">
      <c r="A12" s="21">
        <f t="shared" si="0"/>
        <v>8</v>
      </c>
      <c r="B12" s="43">
        <f>IF(ISBLANK('LISTA DE CADASTRO'!$B9),"",'LISTA DE CADASTRO'!$B9)</f>
        <v>8</v>
      </c>
      <c r="C12" s="53" t="str">
        <f>IF(ISBLANK('LISTA DE CADASTRO'!$C9),"",'LISTA DE CADASTRO'!$C9)</f>
        <v>8 nome da gestante</v>
      </c>
      <c r="D12" s="16" t="str">
        <f>IF(ISBLANK('LISTA DE CADASTRO'!$D9),"",'LISTA DE CADASTRO'!$D9)</f>
        <v>8 telefone</v>
      </c>
      <c r="E12" s="43" t="str">
        <f>IF(ISBLANK('LISTA DE CADASTRO'!$E9),"",'LISTA DE CADASTRO'!$E9)</f>
        <v>8 gest</v>
      </c>
      <c r="F12" s="42" t="str">
        <f>IF(ISBLANK('LISTA DE CADASTRO'!$F9),"",'LISTA DE CADASTRO'!$F9)</f>
        <v>8 parto</v>
      </c>
      <c r="G12" s="43" t="str">
        <f>IF(ISBLANK('LISTA DE CADASTRO'!$G9),"",'LISTA DE CADASTRO'!$G9)</f>
        <v>8 sexo</v>
      </c>
      <c r="H12" s="45" t="str">
        <f>IF(ISBLANK('LISTA DE CADASTRO'!$J9),"",'LISTA DE CADASTRO'!$J9)</f>
        <v>8 D Nascim</v>
      </c>
      <c r="I12" s="7"/>
      <c r="J12" s="47"/>
      <c r="K12" s="7"/>
      <c r="AA12" s="11"/>
      <c r="AB12" s="11"/>
    </row>
    <row r="13" spans="1:28" ht="16.5" customHeight="1" x14ac:dyDescent="0.25">
      <c r="A13" s="21">
        <f t="shared" si="0"/>
        <v>9</v>
      </c>
      <c r="B13" s="43">
        <f>IF(ISBLANK('LISTA DE CADASTRO'!$B10),"",'LISTA DE CADASTRO'!$B10)</f>
        <v>9</v>
      </c>
      <c r="C13" s="53" t="str">
        <f>IF(ISBLANK('LISTA DE CADASTRO'!$C10),"",'LISTA DE CADASTRO'!$C10)</f>
        <v>9 nome da gestante</v>
      </c>
      <c r="D13" s="16" t="str">
        <f>IF(ISBLANK('LISTA DE CADASTRO'!$D10),"",'LISTA DE CADASTRO'!$D10)</f>
        <v>9 telefone</v>
      </c>
      <c r="E13" s="43" t="str">
        <f>IF(ISBLANK('LISTA DE CADASTRO'!$E10),"",'LISTA DE CADASTRO'!$E10)</f>
        <v>9 gest</v>
      </c>
      <c r="F13" s="42" t="str">
        <f>IF(ISBLANK('LISTA DE CADASTRO'!$F10),"",'LISTA DE CADASTRO'!$F10)</f>
        <v>9 parto</v>
      </c>
      <c r="G13" s="43" t="str">
        <f>IF(ISBLANK('LISTA DE CADASTRO'!$G10),"",'LISTA DE CADASTRO'!$G10)</f>
        <v>9 sexo</v>
      </c>
      <c r="H13" s="45" t="str">
        <f>IF(ISBLANK('LISTA DE CADASTRO'!$J10),"",'LISTA DE CADASTRO'!$J10)</f>
        <v>9 D Nascim</v>
      </c>
      <c r="I13" s="7"/>
      <c r="AA13" s="11"/>
      <c r="AB13" s="11"/>
    </row>
    <row r="14" spans="1:28" ht="16.5" customHeight="1" x14ac:dyDescent="0.25">
      <c r="A14" s="21">
        <f t="shared" si="0"/>
        <v>10</v>
      </c>
      <c r="B14" s="43">
        <f>IF(ISBLANK('LISTA DE CADASTRO'!$B11),"",'LISTA DE CADASTRO'!$B11)</f>
        <v>10</v>
      </c>
      <c r="C14" s="53" t="str">
        <f>IF(ISBLANK('LISTA DE CADASTRO'!$C11),"",'LISTA DE CADASTRO'!$C11)</f>
        <v>10 nome da gestante</v>
      </c>
      <c r="D14" s="16" t="str">
        <f>IF(ISBLANK('LISTA DE CADASTRO'!$D11),"",'LISTA DE CADASTRO'!$D11)</f>
        <v>10 telefone</v>
      </c>
      <c r="E14" s="43" t="str">
        <f>IF(ISBLANK('LISTA DE CADASTRO'!$E11),"",'LISTA DE CADASTRO'!$E11)</f>
        <v>10 gest</v>
      </c>
      <c r="F14" s="42" t="str">
        <f>IF(ISBLANK('LISTA DE CADASTRO'!$F11),"",'LISTA DE CADASTRO'!$F11)</f>
        <v>10 parto</v>
      </c>
      <c r="G14" s="43" t="str">
        <f>IF(ISBLANK('LISTA DE CADASTRO'!$G11),"",'LISTA DE CADASTRO'!$G11)</f>
        <v>10 sexo</v>
      </c>
      <c r="H14" s="45" t="str">
        <f>IF(ISBLANK('LISTA DE CADASTRO'!$J11),"",'LISTA DE CADASTRO'!$J11)</f>
        <v>10 D Nascim</v>
      </c>
      <c r="I14" s="7"/>
      <c r="AA14" s="11"/>
      <c r="AB14" s="11"/>
    </row>
    <row r="15" spans="1:28" ht="16.5" customHeight="1" x14ac:dyDescent="0.25">
      <c r="A15" s="21">
        <f t="shared" si="0"/>
        <v>11</v>
      </c>
      <c r="B15" s="43">
        <f>IF(ISBLANK('LISTA DE CADASTRO'!$B12),"",'LISTA DE CADASTRO'!$B12)</f>
        <v>11</v>
      </c>
      <c r="C15" s="53" t="str">
        <f>IF(ISBLANK('LISTA DE CADASTRO'!$C12),"",'LISTA DE CADASTRO'!$C12)</f>
        <v>11 nome da gestante</v>
      </c>
      <c r="D15" s="16" t="str">
        <f>IF(ISBLANK('LISTA DE CADASTRO'!$D12),"",'LISTA DE CADASTRO'!$D12)</f>
        <v>11 telefone</v>
      </c>
      <c r="E15" s="43" t="str">
        <f>IF(ISBLANK('LISTA DE CADASTRO'!$E12),"",'LISTA DE CADASTRO'!$E12)</f>
        <v>11 gest</v>
      </c>
      <c r="F15" s="42" t="str">
        <f>IF(ISBLANK('LISTA DE CADASTRO'!$F12),"",'LISTA DE CADASTRO'!$F12)</f>
        <v>11 parto</v>
      </c>
      <c r="G15" s="43" t="str">
        <f>IF(ISBLANK('LISTA DE CADASTRO'!$G12),"",'LISTA DE CADASTRO'!$G12)</f>
        <v>11 sexo</v>
      </c>
      <c r="H15" s="45" t="str">
        <f>IF(ISBLANK('LISTA DE CADASTRO'!$J12),"",'LISTA DE CADASTRO'!$J12)</f>
        <v>11 D Nascim</v>
      </c>
      <c r="I15" s="7"/>
      <c r="AA15" s="11"/>
      <c r="AB15" s="11"/>
    </row>
    <row r="16" spans="1:28" ht="16.5" customHeight="1" x14ac:dyDescent="0.25">
      <c r="A16" s="21">
        <f t="shared" si="0"/>
        <v>12</v>
      </c>
      <c r="B16" s="43">
        <f>IF(ISBLANK('LISTA DE CADASTRO'!$B13),"",'LISTA DE CADASTRO'!$B13)</f>
        <v>12</v>
      </c>
      <c r="C16" s="53" t="str">
        <f>IF(ISBLANK('LISTA DE CADASTRO'!$C13),"",'LISTA DE CADASTRO'!$C13)</f>
        <v>12 nome da gestante</v>
      </c>
      <c r="D16" s="16" t="str">
        <f>IF(ISBLANK('LISTA DE CADASTRO'!$D13),"",'LISTA DE CADASTRO'!$D13)</f>
        <v>12 telefone</v>
      </c>
      <c r="E16" s="43" t="str">
        <f>IF(ISBLANK('LISTA DE CADASTRO'!$E13),"",'LISTA DE CADASTRO'!$E13)</f>
        <v>12 gest</v>
      </c>
      <c r="F16" s="42" t="str">
        <f>IF(ISBLANK('LISTA DE CADASTRO'!$F13),"",'LISTA DE CADASTRO'!$F13)</f>
        <v>12 parto</v>
      </c>
      <c r="G16" s="43" t="str">
        <f>IF(ISBLANK('LISTA DE CADASTRO'!$G13),"",'LISTA DE CADASTRO'!$G13)</f>
        <v>12 sexo</v>
      </c>
      <c r="H16" s="45" t="str">
        <f>IF(ISBLANK('LISTA DE CADASTRO'!$J13),"",'LISTA DE CADASTRO'!$J13)</f>
        <v>12 D Nascim</v>
      </c>
      <c r="I16" s="7"/>
      <c r="AA16" s="11"/>
      <c r="AB16" s="11"/>
    </row>
    <row r="17" spans="1:28" ht="16.5" customHeight="1" x14ac:dyDescent="0.25">
      <c r="A17" s="21">
        <f t="shared" si="0"/>
        <v>13</v>
      </c>
      <c r="B17" s="43">
        <f>IF(ISBLANK('LISTA DE CADASTRO'!$B14),"",'LISTA DE CADASTRO'!$B14)</f>
        <v>13</v>
      </c>
      <c r="C17" s="53" t="str">
        <f>IF(ISBLANK('LISTA DE CADASTRO'!$C14),"",'LISTA DE CADASTRO'!$C14)</f>
        <v>13 nome da gestante</v>
      </c>
      <c r="D17" s="16" t="str">
        <f>IF(ISBLANK('LISTA DE CADASTRO'!$D14),"",'LISTA DE CADASTRO'!$D14)</f>
        <v>13 telefone</v>
      </c>
      <c r="E17" s="43" t="str">
        <f>IF(ISBLANK('LISTA DE CADASTRO'!$E14),"",'LISTA DE CADASTRO'!$E14)</f>
        <v>13 gest</v>
      </c>
      <c r="F17" s="42" t="str">
        <f>IF(ISBLANK('LISTA DE CADASTRO'!$F14),"",'LISTA DE CADASTRO'!$F14)</f>
        <v>13 parto</v>
      </c>
      <c r="G17" s="43" t="str">
        <f>IF(ISBLANK('LISTA DE CADASTRO'!$G14),"",'LISTA DE CADASTRO'!$G14)</f>
        <v>13 sexo</v>
      </c>
      <c r="H17" s="45" t="str">
        <f>IF(ISBLANK('LISTA DE CADASTRO'!$J14),"",'LISTA DE CADASTRO'!$J14)</f>
        <v>13 D Nascim</v>
      </c>
      <c r="AA17" s="11"/>
      <c r="AB17" s="11"/>
    </row>
    <row r="18" spans="1:28" ht="16.5" customHeight="1" x14ac:dyDescent="0.25">
      <c r="A18" s="21">
        <f t="shared" si="0"/>
        <v>14</v>
      </c>
      <c r="B18" s="43">
        <f>IF(ISBLANK('LISTA DE CADASTRO'!$B15),"",'LISTA DE CADASTRO'!$B15)</f>
        <v>14</v>
      </c>
      <c r="C18" s="53" t="str">
        <f>IF(ISBLANK('LISTA DE CADASTRO'!$C15),"",'LISTA DE CADASTRO'!$C15)</f>
        <v>14 nome da gestante</v>
      </c>
      <c r="D18" s="16" t="str">
        <f>IF(ISBLANK('LISTA DE CADASTRO'!$D15),"",'LISTA DE CADASTRO'!$D15)</f>
        <v>14 telefone</v>
      </c>
      <c r="E18" s="43" t="str">
        <f>IF(ISBLANK('LISTA DE CADASTRO'!$E15),"",'LISTA DE CADASTRO'!$E15)</f>
        <v>14 gest</v>
      </c>
      <c r="F18" s="42" t="str">
        <f>IF(ISBLANK('LISTA DE CADASTRO'!$F15),"",'LISTA DE CADASTRO'!$F15)</f>
        <v>14 parto</v>
      </c>
      <c r="G18" s="43" t="str">
        <f>IF(ISBLANK('LISTA DE CADASTRO'!$G15),"",'LISTA DE CADASTRO'!$G15)</f>
        <v>14 sexo</v>
      </c>
      <c r="H18" s="45" t="str">
        <f>IF(ISBLANK('LISTA DE CADASTRO'!$J15),"",'LISTA DE CADASTRO'!$J15)</f>
        <v>14 D Nascim</v>
      </c>
      <c r="AA18" s="10"/>
      <c r="AB18" s="10"/>
    </row>
    <row r="19" spans="1:28" ht="16.5" customHeight="1" x14ac:dyDescent="0.25">
      <c r="A19" s="21">
        <f t="shared" si="0"/>
        <v>15</v>
      </c>
      <c r="B19" s="43">
        <f>IF(ISBLANK('LISTA DE CADASTRO'!$B16),"",'LISTA DE CADASTRO'!$B16)</f>
        <v>15</v>
      </c>
      <c r="C19" s="53" t="str">
        <f>IF(ISBLANK('LISTA DE CADASTRO'!$C16),"",'LISTA DE CADASTRO'!$C16)</f>
        <v>15 nome da gestante</v>
      </c>
      <c r="D19" s="16" t="str">
        <f>IF(ISBLANK('LISTA DE CADASTRO'!$D16),"",'LISTA DE CADASTRO'!$D16)</f>
        <v>15 telefone</v>
      </c>
      <c r="E19" s="43" t="str">
        <f>IF(ISBLANK('LISTA DE CADASTRO'!$E16),"",'LISTA DE CADASTRO'!$E16)</f>
        <v>15 gest</v>
      </c>
      <c r="F19" s="42" t="str">
        <f>IF(ISBLANK('LISTA DE CADASTRO'!$F16),"",'LISTA DE CADASTRO'!$F16)</f>
        <v>15 parto</v>
      </c>
      <c r="G19" s="43" t="str">
        <f>IF(ISBLANK('LISTA DE CADASTRO'!$G16),"",'LISTA DE CADASTRO'!$G16)</f>
        <v>15 sexo</v>
      </c>
      <c r="H19" s="45" t="str">
        <f>IF(ISBLANK('LISTA DE CADASTRO'!$J16),"",'LISTA DE CADASTRO'!$J16)</f>
        <v>15 D Nascim</v>
      </c>
      <c r="AA19" s="11"/>
      <c r="AB19" s="11"/>
    </row>
    <row r="20" spans="1:28" ht="16.5" customHeight="1" x14ac:dyDescent="0.25">
      <c r="A20" s="21">
        <f t="shared" si="0"/>
        <v>16</v>
      </c>
      <c r="B20" s="43">
        <f>IF(ISBLANK('LISTA DE CADASTRO'!$B17),"",'LISTA DE CADASTRO'!$B17)</f>
        <v>16</v>
      </c>
      <c r="C20" s="53" t="str">
        <f>IF(ISBLANK('LISTA DE CADASTRO'!$C17),"",'LISTA DE CADASTRO'!$C17)</f>
        <v>16 nome da gestante</v>
      </c>
      <c r="D20" s="16" t="str">
        <f>IF(ISBLANK('LISTA DE CADASTRO'!$D17),"",'LISTA DE CADASTRO'!$D17)</f>
        <v>16 telefone</v>
      </c>
      <c r="E20" s="43" t="str">
        <f>IF(ISBLANK('LISTA DE CADASTRO'!$E17),"",'LISTA DE CADASTRO'!$E17)</f>
        <v>16 gest</v>
      </c>
      <c r="F20" s="42" t="str">
        <f>IF(ISBLANK('LISTA DE CADASTRO'!$F17),"",'LISTA DE CADASTRO'!$F17)</f>
        <v>16 parto</v>
      </c>
      <c r="G20" s="43" t="str">
        <f>IF(ISBLANK('LISTA DE CADASTRO'!$G17),"",'LISTA DE CADASTRO'!$G17)</f>
        <v>16 sexo</v>
      </c>
      <c r="H20" s="45" t="str">
        <f>IF(ISBLANK('LISTA DE CADASTRO'!$J17),"",'LISTA DE CADASTRO'!$J17)</f>
        <v>16 D Nascim</v>
      </c>
      <c r="AA20" s="11"/>
      <c r="AB20" s="11"/>
    </row>
    <row r="21" spans="1:28" ht="16.5" customHeight="1" x14ac:dyDescent="0.25">
      <c r="A21" s="21">
        <f t="shared" si="0"/>
        <v>17</v>
      </c>
      <c r="B21" s="43">
        <f>IF(ISBLANK('LISTA DE CADASTRO'!$B18),"",'LISTA DE CADASTRO'!$B18)</f>
        <v>17</v>
      </c>
      <c r="C21" s="53" t="str">
        <f>IF(ISBLANK('LISTA DE CADASTRO'!$C18),"",'LISTA DE CADASTRO'!$C18)</f>
        <v>17 nome da gestante</v>
      </c>
      <c r="D21" s="16" t="str">
        <f>IF(ISBLANK('LISTA DE CADASTRO'!$D18),"",'LISTA DE CADASTRO'!$D18)</f>
        <v>17 telefone</v>
      </c>
      <c r="E21" s="43" t="str">
        <f>IF(ISBLANK('LISTA DE CADASTRO'!$E18),"",'LISTA DE CADASTRO'!$E18)</f>
        <v>17 gest</v>
      </c>
      <c r="F21" s="42" t="str">
        <f>IF(ISBLANK('LISTA DE CADASTRO'!$F18),"",'LISTA DE CADASTRO'!$F18)</f>
        <v>17 parto</v>
      </c>
      <c r="G21" s="43" t="str">
        <f>IF(ISBLANK('LISTA DE CADASTRO'!$G18),"",'LISTA DE CADASTRO'!$G18)</f>
        <v>17 sexo</v>
      </c>
      <c r="H21" s="45" t="str">
        <f>IF(ISBLANK('LISTA DE CADASTRO'!$J18),"",'LISTA DE CADASTRO'!$J18)</f>
        <v>17 D Nascim</v>
      </c>
      <c r="AA21" s="10"/>
      <c r="AB21" s="10"/>
    </row>
    <row r="22" spans="1:28" ht="16.5" customHeight="1" x14ac:dyDescent="0.25">
      <c r="A22" s="21">
        <f t="shared" si="0"/>
        <v>18</v>
      </c>
      <c r="B22" s="43">
        <f>IF(ISBLANK('LISTA DE CADASTRO'!$B19),"",'LISTA DE CADASTRO'!$B19)</f>
        <v>18</v>
      </c>
      <c r="C22" s="53" t="str">
        <f>IF(ISBLANK('LISTA DE CADASTRO'!$C19),"",'LISTA DE CADASTRO'!$C19)</f>
        <v>18 nome da gestante</v>
      </c>
      <c r="D22" s="16" t="str">
        <f>IF(ISBLANK('LISTA DE CADASTRO'!$D19),"",'LISTA DE CADASTRO'!$D19)</f>
        <v>18 telefone</v>
      </c>
      <c r="E22" s="43" t="str">
        <f>IF(ISBLANK('LISTA DE CADASTRO'!$E19),"",'LISTA DE CADASTRO'!$E19)</f>
        <v>18 gest</v>
      </c>
      <c r="F22" s="42" t="str">
        <f>IF(ISBLANK('LISTA DE CADASTRO'!$F19),"",'LISTA DE CADASTRO'!$F19)</f>
        <v>18 parto</v>
      </c>
      <c r="G22" s="43" t="str">
        <f>IF(ISBLANK('LISTA DE CADASTRO'!$G19),"",'LISTA DE CADASTRO'!$G19)</f>
        <v>18 sexo</v>
      </c>
      <c r="H22" s="45" t="str">
        <f>IF(ISBLANK('LISTA DE CADASTRO'!$J19),"",'LISTA DE CADASTRO'!$J19)</f>
        <v>18 D Nascim</v>
      </c>
      <c r="AA22" s="11"/>
      <c r="AB22" s="11"/>
    </row>
    <row r="23" spans="1:28" ht="16.5" customHeight="1" x14ac:dyDescent="0.25">
      <c r="A23" s="21">
        <f t="shared" si="0"/>
        <v>19</v>
      </c>
      <c r="B23" s="43">
        <f>IF(ISBLANK('LISTA DE CADASTRO'!$B20),"",'LISTA DE CADASTRO'!$B20)</f>
        <v>19</v>
      </c>
      <c r="C23" s="53" t="str">
        <f>IF(ISBLANK('LISTA DE CADASTRO'!$C20),"",'LISTA DE CADASTRO'!$C20)</f>
        <v>19 nome da gestante</v>
      </c>
      <c r="D23" s="16" t="str">
        <f>IF(ISBLANK('LISTA DE CADASTRO'!$D20),"",'LISTA DE CADASTRO'!$D20)</f>
        <v>19 telefone</v>
      </c>
      <c r="E23" s="43" t="str">
        <f>IF(ISBLANK('LISTA DE CADASTRO'!$E20),"",'LISTA DE CADASTRO'!$E20)</f>
        <v>19 gest</v>
      </c>
      <c r="F23" s="42" t="str">
        <f>IF(ISBLANK('LISTA DE CADASTRO'!$F20),"",'LISTA DE CADASTRO'!$F20)</f>
        <v>19 parto</v>
      </c>
      <c r="G23" s="43" t="str">
        <f>IF(ISBLANK('LISTA DE CADASTRO'!$G20),"",'LISTA DE CADASTRO'!$G20)</f>
        <v>19 sexo</v>
      </c>
      <c r="H23" s="45" t="str">
        <f>IF(ISBLANK('LISTA DE CADASTRO'!$J20),"",'LISTA DE CADASTRO'!$J20)</f>
        <v>19 D Nascim</v>
      </c>
      <c r="AA23" s="11"/>
      <c r="AB23" s="11"/>
    </row>
    <row r="24" spans="1:28" ht="16.5" customHeight="1" x14ac:dyDescent="0.25">
      <c r="A24" s="21">
        <f t="shared" si="0"/>
        <v>20</v>
      </c>
      <c r="B24" s="43">
        <f>IF(ISBLANK('LISTA DE CADASTRO'!$B21),"",'LISTA DE CADASTRO'!$B21)</f>
        <v>20</v>
      </c>
      <c r="C24" s="53" t="str">
        <f>IF(ISBLANK('LISTA DE CADASTRO'!$C21),"",'LISTA DE CADASTRO'!$C21)</f>
        <v>20 nome da gestante</v>
      </c>
      <c r="D24" s="16" t="str">
        <f>IF(ISBLANK('LISTA DE CADASTRO'!$D21),"",'LISTA DE CADASTRO'!$D21)</f>
        <v>20 telefone</v>
      </c>
      <c r="E24" s="43" t="str">
        <f>IF(ISBLANK('LISTA DE CADASTRO'!$E21),"",'LISTA DE CADASTRO'!$E21)</f>
        <v>20 gest</v>
      </c>
      <c r="F24" s="42" t="str">
        <f>IF(ISBLANK('LISTA DE CADASTRO'!$F21),"",'LISTA DE CADASTRO'!$F21)</f>
        <v>20 parto</v>
      </c>
      <c r="G24" s="43" t="str">
        <f>IF(ISBLANK('LISTA DE CADASTRO'!$G21),"",'LISTA DE CADASTRO'!$G21)</f>
        <v>20 sexo</v>
      </c>
      <c r="H24" s="45" t="str">
        <f>IF(ISBLANK('LISTA DE CADASTRO'!$J21),"",'LISTA DE CADASTRO'!$J21)</f>
        <v>20 D Nascim</v>
      </c>
      <c r="AA24" s="11"/>
      <c r="AB24" s="11"/>
    </row>
    <row r="25" spans="1:28" ht="16.5" customHeight="1" x14ac:dyDescent="0.25">
      <c r="A25" s="21">
        <f t="shared" si="0"/>
        <v>21</v>
      </c>
      <c r="B25" s="43">
        <f>IF(ISBLANK('LISTA DE CADASTRO'!$B22),"",'LISTA DE CADASTRO'!$B22)</f>
        <v>21</v>
      </c>
      <c r="C25" s="53" t="str">
        <f>IF(ISBLANK('LISTA DE CADASTRO'!$C22),"",'LISTA DE CADASTRO'!$C22)</f>
        <v>21 nome da gestante</v>
      </c>
      <c r="D25" s="16" t="str">
        <f>IF(ISBLANK('LISTA DE CADASTRO'!$D22),"",'LISTA DE CADASTRO'!$D22)</f>
        <v>21 telefone</v>
      </c>
      <c r="E25" s="43" t="str">
        <f>IF(ISBLANK('LISTA DE CADASTRO'!$E22),"",'LISTA DE CADASTRO'!$E22)</f>
        <v>21 gest</v>
      </c>
      <c r="F25" s="42" t="str">
        <f>IF(ISBLANK('LISTA DE CADASTRO'!$F22),"",'LISTA DE CADASTRO'!$F22)</f>
        <v>21 parto</v>
      </c>
      <c r="G25" s="43" t="str">
        <f>IF(ISBLANK('LISTA DE CADASTRO'!$G22),"",'LISTA DE CADASTRO'!$G22)</f>
        <v>21 sexo</v>
      </c>
      <c r="H25" s="45" t="str">
        <f>IF(ISBLANK('LISTA DE CADASTRO'!$J22),"",'LISTA DE CADASTRO'!$J22)</f>
        <v>21 D Nascim</v>
      </c>
      <c r="AA25" s="11"/>
      <c r="AB25" s="11"/>
    </row>
    <row r="26" spans="1:28" ht="16.5" customHeight="1" x14ac:dyDescent="0.25">
      <c r="A26" s="21">
        <f t="shared" si="0"/>
        <v>22</v>
      </c>
      <c r="B26" s="43">
        <f>IF(ISBLANK('LISTA DE CADASTRO'!$B23),"",'LISTA DE CADASTRO'!$B23)</f>
        <v>22</v>
      </c>
      <c r="C26" s="53" t="str">
        <f>IF(ISBLANK('LISTA DE CADASTRO'!$C23),"",'LISTA DE CADASTRO'!$C23)</f>
        <v>22 nome da gestante</v>
      </c>
      <c r="D26" s="16" t="str">
        <f>IF(ISBLANK('LISTA DE CADASTRO'!$D23),"",'LISTA DE CADASTRO'!$D23)</f>
        <v>22 telefone</v>
      </c>
      <c r="E26" s="43" t="str">
        <f>IF(ISBLANK('LISTA DE CADASTRO'!$E23),"",'LISTA DE CADASTRO'!$E23)</f>
        <v>22 gest</v>
      </c>
      <c r="F26" s="42" t="str">
        <f>IF(ISBLANK('LISTA DE CADASTRO'!$F23),"",'LISTA DE CADASTRO'!$F23)</f>
        <v>22 parto</v>
      </c>
      <c r="G26" s="43" t="str">
        <f>IF(ISBLANK('LISTA DE CADASTRO'!$G23),"",'LISTA DE CADASTRO'!$G23)</f>
        <v>22 sexo</v>
      </c>
      <c r="H26" s="45" t="str">
        <f>IF(ISBLANK('LISTA DE CADASTRO'!$J23),"",'LISTA DE CADASTRO'!$J23)</f>
        <v>22 D Nascim</v>
      </c>
      <c r="AA26" s="11"/>
      <c r="AB26" s="11"/>
    </row>
    <row r="27" spans="1:28" ht="16.5" customHeight="1" x14ac:dyDescent="0.25">
      <c r="A27" s="21">
        <f t="shared" si="0"/>
        <v>23</v>
      </c>
      <c r="B27" s="43">
        <f>IF(ISBLANK('LISTA DE CADASTRO'!$B24),"",'LISTA DE CADASTRO'!$B24)</f>
        <v>23</v>
      </c>
      <c r="C27" s="53" t="str">
        <f>IF(ISBLANK('LISTA DE CADASTRO'!$C24),"",'LISTA DE CADASTRO'!$C24)</f>
        <v>23 nome da gestante</v>
      </c>
      <c r="D27" s="16" t="str">
        <f>IF(ISBLANK('LISTA DE CADASTRO'!$D24),"",'LISTA DE CADASTRO'!$D24)</f>
        <v>23 telefone</v>
      </c>
      <c r="E27" s="43" t="str">
        <f>IF(ISBLANK('LISTA DE CADASTRO'!$E24),"",'LISTA DE CADASTRO'!$E24)</f>
        <v>23 gest</v>
      </c>
      <c r="F27" s="42" t="str">
        <f>IF(ISBLANK('LISTA DE CADASTRO'!$F24),"",'LISTA DE CADASTRO'!$F24)</f>
        <v>23 parto</v>
      </c>
      <c r="G27" s="43" t="str">
        <f>IF(ISBLANK('LISTA DE CADASTRO'!$G24),"",'LISTA DE CADASTRO'!$G24)</f>
        <v>23 sexo</v>
      </c>
      <c r="H27" s="45" t="str">
        <f>IF(ISBLANK('LISTA DE CADASTRO'!$J24),"",'LISTA DE CADASTRO'!$J24)</f>
        <v>23 D Nascim</v>
      </c>
      <c r="AA27" s="11"/>
      <c r="AB27" s="11"/>
    </row>
    <row r="28" spans="1:28" ht="16.5" customHeight="1" x14ac:dyDescent="0.25">
      <c r="A28" s="21">
        <f t="shared" si="0"/>
        <v>24</v>
      </c>
      <c r="B28" s="43">
        <f>IF(ISBLANK('LISTA DE CADASTRO'!$B25),"",'LISTA DE CADASTRO'!$B25)</f>
        <v>24</v>
      </c>
      <c r="C28" s="53" t="str">
        <f>IF(ISBLANK('LISTA DE CADASTRO'!$C25),"",'LISTA DE CADASTRO'!$C25)</f>
        <v>24 nome da gestante</v>
      </c>
      <c r="D28" s="16" t="str">
        <f>IF(ISBLANK('LISTA DE CADASTRO'!$D25),"",'LISTA DE CADASTRO'!$D25)</f>
        <v>24 telefone</v>
      </c>
      <c r="E28" s="43" t="str">
        <f>IF(ISBLANK('LISTA DE CADASTRO'!$E25),"",'LISTA DE CADASTRO'!$E25)</f>
        <v>24 gest</v>
      </c>
      <c r="F28" s="42" t="str">
        <f>IF(ISBLANK('LISTA DE CADASTRO'!$F25),"",'LISTA DE CADASTRO'!$F25)</f>
        <v>24 parto</v>
      </c>
      <c r="G28" s="43" t="str">
        <f>IF(ISBLANK('LISTA DE CADASTRO'!$G25),"",'LISTA DE CADASTRO'!$G25)</f>
        <v>24 sexo</v>
      </c>
      <c r="H28" s="45" t="str">
        <f>IF(ISBLANK('LISTA DE CADASTRO'!$J25),"",'LISTA DE CADASTRO'!$J25)</f>
        <v>24 D Nascim</v>
      </c>
      <c r="AA28" s="11"/>
      <c r="AB28" s="11"/>
    </row>
    <row r="29" spans="1:28" ht="16.5" customHeight="1" x14ac:dyDescent="0.25">
      <c r="A29" s="21">
        <f t="shared" si="0"/>
        <v>25</v>
      </c>
      <c r="B29" s="43">
        <f>IF(ISBLANK('LISTA DE CADASTRO'!$B26),"",'LISTA DE CADASTRO'!$B26)</f>
        <v>25</v>
      </c>
      <c r="C29" s="53" t="str">
        <f>IF(ISBLANK('LISTA DE CADASTRO'!$C26),"",'LISTA DE CADASTRO'!$C26)</f>
        <v>25 nome da gestante</v>
      </c>
      <c r="D29" s="16" t="str">
        <f>IF(ISBLANK('LISTA DE CADASTRO'!$D26),"",'LISTA DE CADASTRO'!$D26)</f>
        <v>25 telefone</v>
      </c>
      <c r="E29" s="43" t="str">
        <f>IF(ISBLANK('LISTA DE CADASTRO'!$E26),"",'LISTA DE CADASTRO'!$E26)</f>
        <v>25 gest</v>
      </c>
      <c r="F29" s="42" t="str">
        <f>IF(ISBLANK('LISTA DE CADASTRO'!$F26),"",'LISTA DE CADASTRO'!$F26)</f>
        <v>25 parto</v>
      </c>
      <c r="G29" s="43" t="str">
        <f>IF(ISBLANK('LISTA DE CADASTRO'!$G26),"",'LISTA DE CADASTRO'!$G26)</f>
        <v>25 sexo</v>
      </c>
      <c r="H29" s="45" t="str">
        <f>IF(ISBLANK('LISTA DE CADASTRO'!$J26),"",'LISTA DE CADASTRO'!$J26)</f>
        <v>25 D Nascim</v>
      </c>
      <c r="AA29" s="11"/>
      <c r="AB29" s="11"/>
    </row>
    <row r="30" spans="1:28" ht="16.5" customHeight="1" x14ac:dyDescent="0.25">
      <c r="A30" s="21">
        <f t="shared" si="0"/>
        <v>26</v>
      </c>
      <c r="B30" s="43">
        <f>IF(ISBLANK('LISTA DE CADASTRO'!$B27),"",'LISTA DE CADASTRO'!$B27)</f>
        <v>26</v>
      </c>
      <c r="C30" s="53" t="str">
        <f>IF(ISBLANK('LISTA DE CADASTRO'!$C27),"",'LISTA DE CADASTRO'!$C27)</f>
        <v>26 nome da gestante</v>
      </c>
      <c r="D30" s="16" t="str">
        <f>IF(ISBLANK('LISTA DE CADASTRO'!$D27),"",'LISTA DE CADASTRO'!$D27)</f>
        <v>26 telefone</v>
      </c>
      <c r="E30" s="43" t="str">
        <f>IF(ISBLANK('LISTA DE CADASTRO'!$E27),"",'LISTA DE CADASTRO'!$E27)</f>
        <v>26 gest</v>
      </c>
      <c r="F30" s="42" t="str">
        <f>IF(ISBLANK('LISTA DE CADASTRO'!$F27),"",'LISTA DE CADASTRO'!$F27)</f>
        <v>26 parto</v>
      </c>
      <c r="G30" s="43" t="str">
        <f>IF(ISBLANK('LISTA DE CADASTRO'!$G27),"",'LISTA DE CADASTRO'!$G27)</f>
        <v>26 sexo</v>
      </c>
      <c r="H30" s="45" t="str">
        <f>IF(ISBLANK('LISTA DE CADASTRO'!$J27),"",'LISTA DE CADASTRO'!$J27)</f>
        <v>26 D Nascim</v>
      </c>
      <c r="AA30" s="11"/>
      <c r="AB30" s="11"/>
    </row>
    <row r="31" spans="1:28" ht="16.5" customHeight="1" x14ac:dyDescent="0.25">
      <c r="A31" s="21">
        <f t="shared" si="0"/>
        <v>27</v>
      </c>
      <c r="B31" s="43">
        <f>IF(ISBLANK('LISTA DE CADASTRO'!$B28),"",'LISTA DE CADASTRO'!$B28)</f>
        <v>27</v>
      </c>
      <c r="C31" s="53" t="str">
        <f>IF(ISBLANK('LISTA DE CADASTRO'!$C28),"",'LISTA DE CADASTRO'!$C28)</f>
        <v>27 nome da gestante</v>
      </c>
      <c r="D31" s="16" t="str">
        <f>IF(ISBLANK('LISTA DE CADASTRO'!$D28),"",'LISTA DE CADASTRO'!$D28)</f>
        <v>27 telefone</v>
      </c>
      <c r="E31" s="43" t="str">
        <f>IF(ISBLANK('LISTA DE CADASTRO'!$E28),"",'LISTA DE CADASTRO'!$E28)</f>
        <v>27 gest</v>
      </c>
      <c r="F31" s="42" t="str">
        <f>IF(ISBLANK('LISTA DE CADASTRO'!$F28),"",'LISTA DE CADASTRO'!$F28)</f>
        <v>27 parto</v>
      </c>
      <c r="G31" s="43" t="str">
        <f>IF(ISBLANK('LISTA DE CADASTRO'!$G28),"",'LISTA DE CADASTRO'!$G28)</f>
        <v>27 sexo</v>
      </c>
      <c r="H31" s="45" t="str">
        <f>IF(ISBLANK('LISTA DE CADASTRO'!$J28),"",'LISTA DE CADASTRO'!$J28)</f>
        <v>27 D Nascim</v>
      </c>
      <c r="AA31" s="11"/>
      <c r="AB31" s="11"/>
    </row>
    <row r="32" spans="1:28" ht="16.5" customHeight="1" x14ac:dyDescent="0.25">
      <c r="A32" s="21">
        <f t="shared" si="0"/>
        <v>28</v>
      </c>
      <c r="B32" s="43">
        <f>IF(ISBLANK('LISTA DE CADASTRO'!$B29),"",'LISTA DE CADASTRO'!$B29)</f>
        <v>28</v>
      </c>
      <c r="C32" s="53" t="str">
        <f>IF(ISBLANK('LISTA DE CADASTRO'!$C29),"",'LISTA DE CADASTRO'!$C29)</f>
        <v>28 nome da gestante</v>
      </c>
      <c r="D32" s="16" t="str">
        <f>IF(ISBLANK('LISTA DE CADASTRO'!$D29),"",'LISTA DE CADASTRO'!$D29)</f>
        <v>28 telefone</v>
      </c>
      <c r="E32" s="43" t="str">
        <f>IF(ISBLANK('LISTA DE CADASTRO'!$E29),"",'LISTA DE CADASTRO'!$E29)</f>
        <v>28 gest</v>
      </c>
      <c r="F32" s="42" t="str">
        <f>IF(ISBLANK('LISTA DE CADASTRO'!$F29),"",'LISTA DE CADASTRO'!$F29)</f>
        <v>28 parto</v>
      </c>
      <c r="G32" s="43" t="str">
        <f>IF(ISBLANK('LISTA DE CADASTRO'!$G29),"",'LISTA DE CADASTRO'!$G29)</f>
        <v>28 sexo</v>
      </c>
      <c r="H32" s="45" t="str">
        <f>IF(ISBLANK('LISTA DE CADASTRO'!$J29),"",'LISTA DE CADASTRO'!$J29)</f>
        <v>28 D Nascim</v>
      </c>
      <c r="AA32" s="11"/>
      <c r="AB32" s="11"/>
    </row>
    <row r="33" spans="1:28" ht="16.5" customHeight="1" x14ac:dyDescent="0.25">
      <c r="A33" s="21">
        <f t="shared" si="0"/>
        <v>29</v>
      </c>
      <c r="B33" s="43">
        <f>IF(ISBLANK('LISTA DE CADASTRO'!$B30),"",'LISTA DE CADASTRO'!$B30)</f>
        <v>29</v>
      </c>
      <c r="C33" s="53" t="str">
        <f>IF(ISBLANK('LISTA DE CADASTRO'!$C30),"",'LISTA DE CADASTRO'!$C30)</f>
        <v>29 nome da gestante</v>
      </c>
      <c r="D33" s="16" t="str">
        <f>IF(ISBLANK('LISTA DE CADASTRO'!$D30),"",'LISTA DE CADASTRO'!$D30)</f>
        <v>29 telefone</v>
      </c>
      <c r="E33" s="43" t="str">
        <f>IF(ISBLANK('LISTA DE CADASTRO'!$E30),"",'LISTA DE CADASTRO'!$E30)</f>
        <v>29 gest</v>
      </c>
      <c r="F33" s="42" t="str">
        <f>IF(ISBLANK('LISTA DE CADASTRO'!$F30),"",'LISTA DE CADASTRO'!$F30)</f>
        <v>29 parto</v>
      </c>
      <c r="G33" s="43" t="str">
        <f>IF(ISBLANK('LISTA DE CADASTRO'!$G30),"",'LISTA DE CADASTRO'!$G30)</f>
        <v>29 sexo</v>
      </c>
      <c r="H33" s="45" t="str">
        <f>IF(ISBLANK('LISTA DE CADASTRO'!$J30),"",'LISTA DE CADASTRO'!$J30)</f>
        <v>29 D Nascim</v>
      </c>
      <c r="AA33" s="11"/>
      <c r="AB33" s="11"/>
    </row>
    <row r="34" spans="1:28" ht="16.5" customHeight="1" x14ac:dyDescent="0.25">
      <c r="A34" s="21">
        <f t="shared" si="0"/>
        <v>30</v>
      </c>
      <c r="B34" s="43">
        <f>IF(ISBLANK('LISTA DE CADASTRO'!$B31),"",'LISTA DE CADASTRO'!$B31)</f>
        <v>30</v>
      </c>
      <c r="C34" s="53" t="str">
        <f>IF(ISBLANK('LISTA DE CADASTRO'!$C31),"",'LISTA DE CADASTRO'!$C31)</f>
        <v>30 nome da gestante</v>
      </c>
      <c r="D34" s="16" t="str">
        <f>IF(ISBLANK('LISTA DE CADASTRO'!$D31),"",'LISTA DE CADASTRO'!$D31)</f>
        <v>30 telefone</v>
      </c>
      <c r="E34" s="43" t="str">
        <f>IF(ISBLANK('LISTA DE CADASTRO'!$E31),"",'LISTA DE CADASTRO'!$E31)</f>
        <v>30 gest</v>
      </c>
      <c r="F34" s="42" t="str">
        <f>IF(ISBLANK('LISTA DE CADASTRO'!$F31),"",'LISTA DE CADASTRO'!$F31)</f>
        <v>30 parto</v>
      </c>
      <c r="G34" s="43" t="str">
        <f>IF(ISBLANK('LISTA DE CADASTRO'!$G31),"",'LISTA DE CADASTRO'!$G31)</f>
        <v>30 sexo</v>
      </c>
      <c r="H34" s="45" t="str">
        <f>IF(ISBLANK('LISTA DE CADASTRO'!$J31),"",'LISTA DE CADASTRO'!$J31)</f>
        <v>30 D Nascim</v>
      </c>
      <c r="AA34" s="11"/>
      <c r="AB34" s="11"/>
    </row>
    <row r="35" spans="1:28" ht="16.5" customHeight="1" x14ac:dyDescent="0.25">
      <c r="A35" s="21">
        <f t="shared" si="0"/>
        <v>31</v>
      </c>
      <c r="B35" s="43">
        <f>IF(ISBLANK('LISTA DE CADASTRO'!$B32),"",'LISTA DE CADASTRO'!$B32)</f>
        <v>31</v>
      </c>
      <c r="C35" s="53" t="str">
        <f>IF(ISBLANK('LISTA DE CADASTRO'!$C32),"",'LISTA DE CADASTRO'!$C32)</f>
        <v>31 nome da gestante</v>
      </c>
      <c r="D35" s="16" t="str">
        <f>IF(ISBLANK('LISTA DE CADASTRO'!$D32),"",'LISTA DE CADASTRO'!$D32)</f>
        <v>31 telefone</v>
      </c>
      <c r="E35" s="43" t="str">
        <f>IF(ISBLANK('LISTA DE CADASTRO'!$E32),"",'LISTA DE CADASTRO'!$E32)</f>
        <v>31 gest</v>
      </c>
      <c r="F35" s="42" t="str">
        <f>IF(ISBLANK('LISTA DE CADASTRO'!$F32),"",'LISTA DE CADASTRO'!$F32)</f>
        <v>31 parto</v>
      </c>
      <c r="G35" s="43" t="str">
        <f>IF(ISBLANK('LISTA DE CADASTRO'!$G32),"",'LISTA DE CADASTRO'!$G32)</f>
        <v>31 sexo</v>
      </c>
      <c r="H35" s="45" t="str">
        <f>IF(ISBLANK('LISTA DE CADASTRO'!$J32),"",'LISTA DE CADASTRO'!$J32)</f>
        <v>31 D Nascim</v>
      </c>
      <c r="AA35" s="11"/>
      <c r="AB35" s="11"/>
    </row>
    <row r="36" spans="1:28" ht="16.5" customHeight="1" x14ac:dyDescent="0.25">
      <c r="A36" s="21">
        <f t="shared" si="0"/>
        <v>32</v>
      </c>
      <c r="B36" s="43">
        <f>IF(ISBLANK('LISTA DE CADASTRO'!$B33),"",'LISTA DE CADASTRO'!$B33)</f>
        <v>32</v>
      </c>
      <c r="C36" s="53" t="str">
        <f>IF(ISBLANK('LISTA DE CADASTRO'!$C33),"",'LISTA DE CADASTRO'!$C33)</f>
        <v>32 nome da gestante</v>
      </c>
      <c r="D36" s="16" t="str">
        <f>IF(ISBLANK('LISTA DE CADASTRO'!$D33),"",'LISTA DE CADASTRO'!$D33)</f>
        <v>32 telefone</v>
      </c>
      <c r="E36" s="43" t="str">
        <f>IF(ISBLANK('LISTA DE CADASTRO'!$E33),"",'LISTA DE CADASTRO'!$E33)</f>
        <v>32 gest</v>
      </c>
      <c r="F36" s="42" t="str">
        <f>IF(ISBLANK('LISTA DE CADASTRO'!$F33),"",'LISTA DE CADASTRO'!$F33)</f>
        <v>32 parto</v>
      </c>
      <c r="G36" s="43" t="str">
        <f>IF(ISBLANK('LISTA DE CADASTRO'!$G33),"",'LISTA DE CADASTRO'!$G33)</f>
        <v>32 sexo</v>
      </c>
      <c r="H36" s="45" t="str">
        <f>IF(ISBLANK('LISTA DE CADASTRO'!$J33),"",'LISTA DE CADASTRO'!$J33)</f>
        <v>32 D Nascim</v>
      </c>
      <c r="AA36" s="11"/>
      <c r="AB36" s="11"/>
    </row>
    <row r="37" spans="1:28" s="3" customFormat="1" ht="16.5" customHeight="1" x14ac:dyDescent="0.25">
      <c r="A37" s="21">
        <f t="shared" si="0"/>
        <v>33</v>
      </c>
      <c r="B37" s="43">
        <f>IF(ISBLANK('LISTA DE CADASTRO'!$B34),"",'LISTA DE CADASTRO'!$B34)</f>
        <v>33</v>
      </c>
      <c r="C37" s="53" t="str">
        <f>IF(ISBLANK('LISTA DE CADASTRO'!$C34),"",'LISTA DE CADASTRO'!$C34)</f>
        <v>33 nome da gestante</v>
      </c>
      <c r="D37" s="16" t="str">
        <f>IF(ISBLANK('LISTA DE CADASTRO'!$D34),"",'LISTA DE CADASTRO'!$D34)</f>
        <v>33 telefone</v>
      </c>
      <c r="E37" s="43" t="str">
        <f>IF(ISBLANK('LISTA DE CADASTRO'!$E34),"",'LISTA DE CADASTRO'!$E34)</f>
        <v>33 gest</v>
      </c>
      <c r="F37" s="42" t="str">
        <f>IF(ISBLANK('LISTA DE CADASTRO'!$F34),"",'LISTA DE CADASTRO'!$F34)</f>
        <v>33 parto</v>
      </c>
      <c r="G37" s="43" t="str">
        <f>IF(ISBLANK('LISTA DE CADASTRO'!$G34),"",'LISTA DE CADASTRO'!$G34)</f>
        <v>33 sexo</v>
      </c>
      <c r="H37" s="45" t="str">
        <f>IF(ISBLANK('LISTA DE CADASTRO'!$J34),"",'LISTA DE CADASTRO'!$J34)</f>
        <v>33 D Nascim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 s="11"/>
      <c r="AB37" s="11"/>
    </row>
    <row r="38" spans="1:28" ht="16.5" customHeight="1" x14ac:dyDescent="0.25">
      <c r="A38" s="21">
        <f t="shared" si="0"/>
        <v>34</v>
      </c>
      <c r="B38" s="43">
        <f>IF(ISBLANK('LISTA DE CADASTRO'!$B35),"",'LISTA DE CADASTRO'!$B35)</f>
        <v>34</v>
      </c>
      <c r="C38" s="53" t="str">
        <f>IF(ISBLANK('LISTA DE CADASTRO'!$C35),"",'LISTA DE CADASTRO'!$C35)</f>
        <v>34 nome da gestante</v>
      </c>
      <c r="D38" s="16" t="str">
        <f>IF(ISBLANK('LISTA DE CADASTRO'!$D35),"",'LISTA DE CADASTRO'!$D35)</f>
        <v>34 telefone</v>
      </c>
      <c r="E38" s="43" t="str">
        <f>IF(ISBLANK('LISTA DE CADASTRO'!$E35),"",'LISTA DE CADASTRO'!$E35)</f>
        <v>34 gest</v>
      </c>
      <c r="F38" s="42" t="str">
        <f>IF(ISBLANK('LISTA DE CADASTRO'!$F35),"",'LISTA DE CADASTRO'!$F35)</f>
        <v>34 parto</v>
      </c>
      <c r="G38" s="43" t="str">
        <f>IF(ISBLANK('LISTA DE CADASTRO'!$G35),"",'LISTA DE CADASTRO'!$G35)</f>
        <v>34 sexo</v>
      </c>
      <c r="H38" s="45" t="str">
        <f>IF(ISBLANK('LISTA DE CADASTRO'!$J35),"",'LISTA DE CADASTRO'!$J35)</f>
        <v>34 D Nascim</v>
      </c>
      <c r="V38" s="18"/>
      <c r="AA38" s="11"/>
      <c r="AB38" s="11"/>
    </row>
    <row r="39" spans="1:28" ht="16.5" customHeight="1" x14ac:dyDescent="0.25">
      <c r="A39" s="21">
        <f t="shared" si="0"/>
        <v>35</v>
      </c>
      <c r="B39" s="43">
        <f>IF(ISBLANK('LISTA DE CADASTRO'!$B36),"",'LISTA DE CADASTRO'!$B36)</f>
        <v>35</v>
      </c>
      <c r="C39" s="53" t="str">
        <f>IF(ISBLANK('LISTA DE CADASTRO'!$C36),"",'LISTA DE CADASTRO'!$C36)</f>
        <v>35 nome da gestante</v>
      </c>
      <c r="D39" s="16" t="str">
        <f>IF(ISBLANK('LISTA DE CADASTRO'!$D36),"",'LISTA DE CADASTRO'!$D36)</f>
        <v>35 telefone</v>
      </c>
      <c r="E39" s="43" t="str">
        <f>IF(ISBLANK('LISTA DE CADASTRO'!$E36),"",'LISTA DE CADASTRO'!$E36)</f>
        <v>35 gest</v>
      </c>
      <c r="F39" s="42" t="str">
        <f>IF(ISBLANK('LISTA DE CADASTRO'!$F36),"",'LISTA DE CADASTRO'!$F36)</f>
        <v>35 parto</v>
      </c>
      <c r="G39" s="43" t="str">
        <f>IF(ISBLANK('LISTA DE CADASTRO'!$G36),"",'LISTA DE CADASTRO'!$G36)</f>
        <v>35 sexo</v>
      </c>
      <c r="H39" s="45" t="str">
        <f>IF(ISBLANK('LISTA DE CADASTRO'!$J36),"",'LISTA DE CADASTRO'!$J36)</f>
        <v>35 D Nascim</v>
      </c>
      <c r="AA39" s="11"/>
      <c r="AB39" s="11"/>
    </row>
    <row r="40" spans="1:28" ht="16.5" customHeight="1" x14ac:dyDescent="0.25">
      <c r="A40" s="21">
        <f t="shared" si="0"/>
        <v>36</v>
      </c>
      <c r="B40" s="43">
        <f>IF(ISBLANK('LISTA DE CADASTRO'!$B37),"",'LISTA DE CADASTRO'!$B37)</f>
        <v>36</v>
      </c>
      <c r="C40" s="53" t="str">
        <f>IF(ISBLANK('LISTA DE CADASTRO'!$C37),"",'LISTA DE CADASTRO'!$C37)</f>
        <v>36 nome da gestante</v>
      </c>
      <c r="D40" s="16" t="str">
        <f>IF(ISBLANK('LISTA DE CADASTRO'!$D37),"",'LISTA DE CADASTRO'!$D37)</f>
        <v>36 telefone</v>
      </c>
      <c r="E40" s="43" t="str">
        <f>IF(ISBLANK('LISTA DE CADASTRO'!$E37),"",'LISTA DE CADASTRO'!$E37)</f>
        <v>36 gest</v>
      </c>
      <c r="F40" s="42" t="str">
        <f>IF(ISBLANK('LISTA DE CADASTRO'!$F37),"",'LISTA DE CADASTRO'!$F37)</f>
        <v>36 parto</v>
      </c>
      <c r="G40" s="43" t="str">
        <f>IF(ISBLANK('LISTA DE CADASTRO'!$G37),"",'LISTA DE CADASTRO'!$G37)</f>
        <v>36 sexo</v>
      </c>
      <c r="H40" s="45" t="str">
        <f>IF(ISBLANK('LISTA DE CADASTRO'!$J37),"",'LISTA DE CADASTRO'!$J37)</f>
        <v>36 D Nascim</v>
      </c>
      <c r="AA40" s="11"/>
      <c r="AB40" s="11"/>
    </row>
    <row r="41" spans="1:28" ht="16.5" customHeight="1" x14ac:dyDescent="0.25">
      <c r="A41" s="21">
        <f t="shared" si="0"/>
        <v>37</v>
      </c>
      <c r="B41" s="43">
        <f>IF(ISBLANK('LISTA DE CADASTRO'!$B38),"",'LISTA DE CADASTRO'!$B38)</f>
        <v>37</v>
      </c>
      <c r="C41" s="53" t="str">
        <f>IF(ISBLANK('LISTA DE CADASTRO'!$C38),"",'LISTA DE CADASTRO'!$C38)</f>
        <v>37 nome da gestante</v>
      </c>
      <c r="D41" s="16" t="str">
        <f>IF(ISBLANK('LISTA DE CADASTRO'!$D38),"",'LISTA DE CADASTRO'!$D38)</f>
        <v>37 telefone</v>
      </c>
      <c r="E41" s="43" t="str">
        <f>IF(ISBLANK('LISTA DE CADASTRO'!$E38),"",'LISTA DE CADASTRO'!$E38)</f>
        <v>37 gest</v>
      </c>
      <c r="F41" s="42" t="str">
        <f>IF(ISBLANK('LISTA DE CADASTRO'!$F38),"",'LISTA DE CADASTRO'!$F38)</f>
        <v>37 parto</v>
      </c>
      <c r="G41" s="43" t="str">
        <f>IF(ISBLANK('LISTA DE CADASTRO'!$G38),"",'LISTA DE CADASTRO'!$G38)</f>
        <v>37 sexo</v>
      </c>
      <c r="H41" s="45" t="str">
        <f>IF(ISBLANK('LISTA DE CADASTRO'!$J38),"",'LISTA DE CADASTRO'!$J38)</f>
        <v>37 D Nascim</v>
      </c>
      <c r="AA41" s="11"/>
      <c r="AB41" s="11"/>
    </row>
    <row r="42" spans="1:28" ht="16.5" customHeight="1" x14ac:dyDescent="0.25">
      <c r="A42" s="21">
        <f t="shared" si="0"/>
        <v>38</v>
      </c>
      <c r="B42" s="43">
        <f>IF(ISBLANK('LISTA DE CADASTRO'!$B39),"",'LISTA DE CADASTRO'!$B39)</f>
        <v>38</v>
      </c>
      <c r="C42" s="53" t="str">
        <f>IF(ISBLANK('LISTA DE CADASTRO'!$C39),"",'LISTA DE CADASTRO'!$C39)</f>
        <v>38 nome da gestante</v>
      </c>
      <c r="D42" s="16" t="str">
        <f>IF(ISBLANK('LISTA DE CADASTRO'!$D39),"",'LISTA DE CADASTRO'!$D39)</f>
        <v>38 telefone</v>
      </c>
      <c r="E42" s="43" t="str">
        <f>IF(ISBLANK('LISTA DE CADASTRO'!$E39),"",'LISTA DE CADASTRO'!$E39)</f>
        <v>38 gest</v>
      </c>
      <c r="F42" s="42" t="str">
        <f>IF(ISBLANK('LISTA DE CADASTRO'!$F39),"",'LISTA DE CADASTRO'!$F39)</f>
        <v>38 parto</v>
      </c>
      <c r="G42" s="43" t="str">
        <f>IF(ISBLANK('LISTA DE CADASTRO'!$G39),"",'LISTA DE CADASTRO'!$G39)</f>
        <v>38 sexo</v>
      </c>
      <c r="H42" s="45" t="str">
        <f>IF(ISBLANK('LISTA DE CADASTRO'!$J39),"",'LISTA DE CADASTRO'!$J39)</f>
        <v>38 D Nascim</v>
      </c>
      <c r="AA42" s="11"/>
      <c r="AB42" s="11"/>
    </row>
    <row r="43" spans="1:28" s="5" customFormat="1" ht="16.5" customHeight="1" x14ac:dyDescent="0.25">
      <c r="A43" s="21">
        <f t="shared" si="0"/>
        <v>39</v>
      </c>
      <c r="B43" s="43">
        <f>IF(ISBLANK('LISTA DE CADASTRO'!$B40),"",'LISTA DE CADASTRO'!$B40)</f>
        <v>39</v>
      </c>
      <c r="C43" s="53" t="str">
        <f>IF(ISBLANK('LISTA DE CADASTRO'!$C40),"",'LISTA DE CADASTRO'!$C40)</f>
        <v>39 nome da gestante</v>
      </c>
      <c r="D43" s="16" t="str">
        <f>IF(ISBLANK('LISTA DE CADASTRO'!$D40),"",'LISTA DE CADASTRO'!$D40)</f>
        <v>39 telefone</v>
      </c>
      <c r="E43" s="43" t="str">
        <f>IF(ISBLANK('LISTA DE CADASTRO'!$E40),"",'LISTA DE CADASTRO'!$E40)</f>
        <v>39 gest</v>
      </c>
      <c r="F43" s="42" t="str">
        <f>IF(ISBLANK('LISTA DE CADASTRO'!$F40),"",'LISTA DE CADASTRO'!$F40)</f>
        <v>39 parto</v>
      </c>
      <c r="G43" s="43" t="str">
        <f>IF(ISBLANK('LISTA DE CADASTRO'!$G40),"",'LISTA DE CADASTRO'!$G40)</f>
        <v>39 sexo</v>
      </c>
      <c r="H43" s="45" t="str">
        <f>IF(ISBLANK('LISTA DE CADASTRO'!$J40),"",'LISTA DE CADASTRO'!$J40)</f>
        <v>39 D Nascim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 s="10"/>
      <c r="AB43" s="10"/>
    </row>
    <row r="44" spans="1:28" ht="16.5" customHeight="1" x14ac:dyDescent="0.25">
      <c r="A44" s="21">
        <f t="shared" si="0"/>
        <v>40</v>
      </c>
      <c r="B44" s="43">
        <f>IF(ISBLANK('LISTA DE CADASTRO'!$B41),"",'LISTA DE CADASTRO'!$B41)</f>
        <v>40</v>
      </c>
      <c r="C44" s="53" t="str">
        <f>IF(ISBLANK('LISTA DE CADASTRO'!$C41),"",'LISTA DE CADASTRO'!$C41)</f>
        <v>40 nome da gestante</v>
      </c>
      <c r="D44" s="16" t="str">
        <f>IF(ISBLANK('LISTA DE CADASTRO'!$D41),"",'LISTA DE CADASTRO'!$D41)</f>
        <v>40 telefone</v>
      </c>
      <c r="E44" s="43" t="str">
        <f>IF(ISBLANK('LISTA DE CADASTRO'!$E41),"",'LISTA DE CADASTRO'!$E41)</f>
        <v>40 gest</v>
      </c>
      <c r="F44" s="42" t="str">
        <f>IF(ISBLANK('LISTA DE CADASTRO'!$F41),"",'LISTA DE CADASTRO'!$F41)</f>
        <v>40 parto</v>
      </c>
      <c r="G44" s="43" t="str">
        <f>IF(ISBLANK('LISTA DE CADASTRO'!$G41),"",'LISTA DE CADASTRO'!$G41)</f>
        <v>40 sexo</v>
      </c>
      <c r="H44" s="45" t="str">
        <f>IF(ISBLANK('LISTA DE CADASTRO'!$J41),"",'LISTA DE CADASTRO'!$J41)</f>
        <v>40 D Nascim</v>
      </c>
      <c r="AA44" s="11"/>
      <c r="AB44" s="11"/>
    </row>
    <row r="46" spans="1:28" x14ac:dyDescent="0.25">
      <c r="D46" s="165" t="s">
        <v>28</v>
      </c>
      <c r="E46" s="165"/>
      <c r="F46" s="165"/>
      <c r="G46" s="8">
        <f>COUNTIF(G5:G44,"menino")</f>
        <v>0</v>
      </c>
    </row>
    <row r="47" spans="1:28" x14ac:dyDescent="0.25">
      <c r="D47" s="166" t="s">
        <v>29</v>
      </c>
      <c r="E47" s="166"/>
      <c r="F47" s="166"/>
      <c r="G47" s="9">
        <f>COUNTIF(G5:G44,"menina")</f>
        <v>1</v>
      </c>
    </row>
  </sheetData>
  <sortState xmlns:xlrd2="http://schemas.microsoft.com/office/spreadsheetml/2017/richdata2" ref="B5:H44">
    <sortCondition ref="F5:F44"/>
  </sortState>
  <mergeCells count="6">
    <mergeCell ref="A1:B3"/>
    <mergeCell ref="D46:F46"/>
    <mergeCell ref="D47:F47"/>
    <mergeCell ref="C1:H1"/>
    <mergeCell ref="C2:H2"/>
    <mergeCell ref="C3:G3"/>
  </mergeCells>
  <phoneticPr fontId="27" type="noConversion"/>
  <printOptions horizontalCentered="1"/>
  <pageMargins left="0.23622047244094491" right="0.23622047244094491" top="0.31496062992125984" bottom="0.27559055118110237" header="0.11811023622047245" footer="0.11811023622047245"/>
  <pageSetup paperSize="9" orientation="landscape" horizontalDpi="4294967292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EE1E-7FE6-4EB5-B57D-BF08D259B8C5}">
  <dimension ref="A1:E50"/>
  <sheetViews>
    <sheetView workbookViewId="0">
      <selection activeCell="D7" sqref="D7"/>
    </sheetView>
  </sheetViews>
  <sheetFormatPr defaultRowHeight="15" x14ac:dyDescent="0.25"/>
  <cols>
    <col min="1" max="1" width="3.7109375" customWidth="1"/>
    <col min="2" max="2" width="16.7109375" style="3" customWidth="1"/>
    <col min="3" max="3" width="24.7109375" style="1" customWidth="1"/>
    <col min="4" max="4" width="54.7109375" customWidth="1"/>
    <col min="5" max="5" width="40.7109375" customWidth="1"/>
  </cols>
  <sheetData>
    <row r="1" spans="1:5" ht="22.5" x14ac:dyDescent="0.25">
      <c r="A1" s="54"/>
      <c r="B1" s="55"/>
      <c r="C1" s="56" t="s">
        <v>38</v>
      </c>
      <c r="D1" s="56"/>
      <c r="E1" s="57"/>
    </row>
    <row r="2" spans="1:5" ht="16.5" thickBot="1" x14ac:dyDescent="0.3">
      <c r="A2" s="58"/>
      <c r="B2" s="59"/>
      <c r="C2" s="60" t="s">
        <v>41</v>
      </c>
      <c r="D2" s="60"/>
      <c r="E2" s="61"/>
    </row>
    <row r="3" spans="1:5" ht="24.75" customHeight="1" thickBot="1" x14ac:dyDescent="0.3">
      <c r="A3" s="62"/>
      <c r="B3" s="63"/>
      <c r="C3" s="66" t="s">
        <v>43</v>
      </c>
      <c r="D3" s="67"/>
      <c r="E3" s="64" t="s">
        <v>42</v>
      </c>
    </row>
    <row r="4" spans="1:5" ht="27.75" customHeight="1" thickBot="1" x14ac:dyDescent="0.3">
      <c r="A4" s="68"/>
      <c r="B4" s="173" t="s">
        <v>1</v>
      </c>
      <c r="C4" s="173"/>
      <c r="D4" s="69" t="s">
        <v>40</v>
      </c>
      <c r="E4" s="84" t="s">
        <v>39</v>
      </c>
    </row>
    <row r="5" spans="1:5" ht="27" customHeight="1" x14ac:dyDescent="0.25">
      <c r="A5" s="70">
        <v>1</v>
      </c>
      <c r="B5" s="71" t="str">
        <f>IF(ISBLANK('LISTA DE CADASTRO'!$C2),"",'LISTA DE CADASTRO'!$C2)</f>
        <v xml:space="preserve">Stephanie Lorrayne dos Santos Freitas </v>
      </c>
      <c r="C5" s="72"/>
      <c r="D5" s="73">
        <f>IF(ISBLANK('LISTA DE CADASTRO'!$J2),"",'LISTA DE CADASTRO'!$J2)</f>
        <v>36883</v>
      </c>
      <c r="E5" s="74"/>
    </row>
    <row r="6" spans="1:5" ht="27" customHeight="1" x14ac:dyDescent="0.25">
      <c r="A6" s="75">
        <f>A5+1</f>
        <v>2</v>
      </c>
      <c r="B6" s="76" t="str">
        <f>IF(ISBLANK('LISTA DE CADASTRO'!$C3),"",'LISTA DE CADASTRO'!$C3)</f>
        <v>2 nome da gestante</v>
      </c>
      <c r="C6" s="65"/>
      <c r="D6" s="77" t="str">
        <f>IF(ISBLANK('LISTA DE CADASTRO'!$J3),"",'LISTA DE CADASTRO'!$J3)</f>
        <v>2 D Nascim</v>
      </c>
      <c r="E6" s="78"/>
    </row>
    <row r="7" spans="1:5" ht="27" customHeight="1" x14ac:dyDescent="0.25">
      <c r="A7" s="75">
        <f t="shared" ref="A7:A44" si="0">A6+1</f>
        <v>3</v>
      </c>
      <c r="B7" s="76" t="str">
        <f>IF(ISBLANK('LISTA DE CADASTRO'!$C4),"",'LISTA DE CADASTRO'!$C4)</f>
        <v>3 nome da gestante</v>
      </c>
      <c r="C7" s="79"/>
      <c r="D7" s="77" t="str">
        <f>IF(ISBLANK('LISTA DE CADASTRO'!$J4),"",'LISTA DE CADASTRO'!$J4)</f>
        <v>3 D Nascim</v>
      </c>
      <c r="E7" s="78"/>
    </row>
    <row r="8" spans="1:5" ht="27" customHeight="1" x14ac:dyDescent="0.25">
      <c r="A8" s="75">
        <f t="shared" si="0"/>
        <v>4</v>
      </c>
      <c r="B8" s="76" t="str">
        <f>IF(ISBLANK('LISTA DE CADASTRO'!$C5),"",'LISTA DE CADASTRO'!$C5)</f>
        <v>4 nome da gestante</v>
      </c>
      <c r="C8" s="65"/>
      <c r="D8" s="77" t="str">
        <f>IF(ISBLANK('LISTA DE CADASTRO'!$J5),"",'LISTA DE CADASTRO'!$J5)</f>
        <v>4 D Nascim</v>
      </c>
      <c r="E8" s="78"/>
    </row>
    <row r="9" spans="1:5" ht="27" customHeight="1" x14ac:dyDescent="0.25">
      <c r="A9" s="75">
        <f t="shared" si="0"/>
        <v>5</v>
      </c>
      <c r="B9" s="76" t="str">
        <f>IF(ISBLANK('LISTA DE CADASTRO'!$C6),"",'LISTA DE CADASTRO'!$C6)</f>
        <v>5 nome da gestante</v>
      </c>
      <c r="C9" s="65"/>
      <c r="D9" s="77" t="str">
        <f>IF(ISBLANK('LISTA DE CADASTRO'!$J6),"",'LISTA DE CADASTRO'!$J6)</f>
        <v>5 D Nascim</v>
      </c>
      <c r="E9" s="78"/>
    </row>
    <row r="10" spans="1:5" ht="27" customHeight="1" x14ac:dyDescent="0.25">
      <c r="A10" s="75">
        <f t="shared" si="0"/>
        <v>6</v>
      </c>
      <c r="B10" s="76" t="str">
        <f>IF(ISBLANK('LISTA DE CADASTRO'!$C7),"",'LISTA DE CADASTRO'!$C7)</f>
        <v>6 nome da gestante</v>
      </c>
      <c r="C10" s="65"/>
      <c r="D10" s="77" t="str">
        <f>IF(ISBLANK('LISTA DE CADASTRO'!$J7),"",'LISTA DE CADASTRO'!$J7)</f>
        <v>6 D Nascim</v>
      </c>
      <c r="E10" s="78"/>
    </row>
    <row r="11" spans="1:5" ht="27" customHeight="1" x14ac:dyDescent="0.25">
      <c r="A11" s="75">
        <f t="shared" si="0"/>
        <v>7</v>
      </c>
      <c r="B11" s="76" t="str">
        <f>IF(ISBLANK('LISTA DE CADASTRO'!$C8),"",'LISTA DE CADASTRO'!$C8)</f>
        <v>7 nome da gestante</v>
      </c>
      <c r="C11" s="65"/>
      <c r="D11" s="77" t="str">
        <f>IF(ISBLANK('LISTA DE CADASTRO'!$J8),"",'LISTA DE CADASTRO'!$J8)</f>
        <v>7 D Nascim</v>
      </c>
      <c r="E11" s="78"/>
    </row>
    <row r="12" spans="1:5" ht="27" customHeight="1" x14ac:dyDescent="0.25">
      <c r="A12" s="75">
        <f t="shared" si="0"/>
        <v>8</v>
      </c>
      <c r="B12" s="76" t="str">
        <f>IF(ISBLANK('LISTA DE CADASTRO'!$C9),"",'LISTA DE CADASTRO'!$C9)</f>
        <v>8 nome da gestante</v>
      </c>
      <c r="C12" s="65"/>
      <c r="D12" s="77" t="str">
        <f>IF(ISBLANK('LISTA DE CADASTRO'!$J9),"",'LISTA DE CADASTRO'!$J9)</f>
        <v>8 D Nascim</v>
      </c>
      <c r="E12" s="78"/>
    </row>
    <row r="13" spans="1:5" ht="27" customHeight="1" x14ac:dyDescent="0.25">
      <c r="A13" s="75">
        <f t="shared" si="0"/>
        <v>9</v>
      </c>
      <c r="B13" s="76" t="str">
        <f>IF(ISBLANK('LISTA DE CADASTRO'!$C10),"",'LISTA DE CADASTRO'!$C10)</f>
        <v>9 nome da gestante</v>
      </c>
      <c r="C13" s="65"/>
      <c r="D13" s="77" t="str">
        <f>IF(ISBLANK('LISTA DE CADASTRO'!$J10),"",'LISTA DE CADASTRO'!$J10)</f>
        <v>9 D Nascim</v>
      </c>
      <c r="E13" s="78"/>
    </row>
    <row r="14" spans="1:5" ht="27" customHeight="1" x14ac:dyDescent="0.25">
      <c r="A14" s="75">
        <f t="shared" si="0"/>
        <v>10</v>
      </c>
      <c r="B14" s="76" t="str">
        <f>IF(ISBLANK('LISTA DE CADASTRO'!$C11),"",'LISTA DE CADASTRO'!$C11)</f>
        <v>10 nome da gestante</v>
      </c>
      <c r="C14" s="65"/>
      <c r="D14" s="77" t="str">
        <f>IF(ISBLANK('LISTA DE CADASTRO'!$J11),"",'LISTA DE CADASTRO'!$J11)</f>
        <v>10 D Nascim</v>
      </c>
      <c r="E14" s="78"/>
    </row>
    <row r="15" spans="1:5" ht="27" customHeight="1" x14ac:dyDescent="0.25">
      <c r="A15" s="75">
        <f t="shared" si="0"/>
        <v>11</v>
      </c>
      <c r="B15" s="76" t="str">
        <f>IF(ISBLANK('LISTA DE CADASTRO'!$C12),"",'LISTA DE CADASTRO'!$C12)</f>
        <v>11 nome da gestante</v>
      </c>
      <c r="C15" s="65"/>
      <c r="D15" s="77" t="str">
        <f>IF(ISBLANK('LISTA DE CADASTRO'!$J12),"",'LISTA DE CADASTRO'!$J12)</f>
        <v>11 D Nascim</v>
      </c>
      <c r="E15" s="78"/>
    </row>
    <row r="16" spans="1:5" ht="27" customHeight="1" x14ac:dyDescent="0.25">
      <c r="A16" s="75">
        <f t="shared" si="0"/>
        <v>12</v>
      </c>
      <c r="B16" s="76" t="str">
        <f>IF(ISBLANK('LISTA DE CADASTRO'!$C13),"",'LISTA DE CADASTRO'!$C13)</f>
        <v>12 nome da gestante</v>
      </c>
      <c r="C16" s="65"/>
      <c r="D16" s="77" t="str">
        <f>IF(ISBLANK('LISTA DE CADASTRO'!$J13),"",'LISTA DE CADASTRO'!$J13)</f>
        <v>12 D Nascim</v>
      </c>
      <c r="E16" s="78"/>
    </row>
    <row r="17" spans="1:5" ht="27" customHeight="1" x14ac:dyDescent="0.25">
      <c r="A17" s="75">
        <f t="shared" si="0"/>
        <v>13</v>
      </c>
      <c r="B17" s="76" t="str">
        <f>IF(ISBLANK('LISTA DE CADASTRO'!$C14),"",'LISTA DE CADASTRO'!$C14)</f>
        <v>13 nome da gestante</v>
      </c>
      <c r="C17" s="65"/>
      <c r="D17" s="77" t="str">
        <f>IF(ISBLANK('LISTA DE CADASTRO'!$J14),"",'LISTA DE CADASTRO'!$J14)</f>
        <v>13 D Nascim</v>
      </c>
      <c r="E17" s="78"/>
    </row>
    <row r="18" spans="1:5" ht="27" customHeight="1" x14ac:dyDescent="0.25">
      <c r="A18" s="75">
        <f t="shared" si="0"/>
        <v>14</v>
      </c>
      <c r="B18" s="76" t="str">
        <f>IF(ISBLANK('LISTA DE CADASTRO'!$C15),"",'LISTA DE CADASTRO'!$C15)</f>
        <v>14 nome da gestante</v>
      </c>
      <c r="C18" s="65"/>
      <c r="D18" s="77" t="str">
        <f>IF(ISBLANK('LISTA DE CADASTRO'!$J15),"",'LISTA DE CADASTRO'!$J15)</f>
        <v>14 D Nascim</v>
      </c>
      <c r="E18" s="78"/>
    </row>
    <row r="19" spans="1:5" ht="27" customHeight="1" x14ac:dyDescent="0.25">
      <c r="A19" s="75">
        <f t="shared" si="0"/>
        <v>15</v>
      </c>
      <c r="B19" s="76" t="str">
        <f>IF(ISBLANK('LISTA DE CADASTRO'!$C16),"",'LISTA DE CADASTRO'!$C16)</f>
        <v>15 nome da gestante</v>
      </c>
      <c r="C19" s="65"/>
      <c r="D19" s="77" t="str">
        <f>IF(ISBLANK('LISTA DE CADASTRO'!$J16),"",'LISTA DE CADASTRO'!$J16)</f>
        <v>15 D Nascim</v>
      </c>
      <c r="E19" s="78"/>
    </row>
    <row r="20" spans="1:5" ht="27" customHeight="1" x14ac:dyDescent="0.25">
      <c r="A20" s="75">
        <f t="shared" si="0"/>
        <v>16</v>
      </c>
      <c r="B20" s="76" t="str">
        <f>IF(ISBLANK('LISTA DE CADASTRO'!$C17),"",'LISTA DE CADASTRO'!$C17)</f>
        <v>16 nome da gestante</v>
      </c>
      <c r="C20" s="65"/>
      <c r="D20" s="77" t="str">
        <f>IF(ISBLANK('LISTA DE CADASTRO'!$J17),"",'LISTA DE CADASTRO'!$J17)</f>
        <v>16 D Nascim</v>
      </c>
      <c r="E20" s="78"/>
    </row>
    <row r="21" spans="1:5" ht="27" customHeight="1" x14ac:dyDescent="0.25">
      <c r="A21" s="75">
        <f t="shared" si="0"/>
        <v>17</v>
      </c>
      <c r="B21" s="76" t="str">
        <f>IF(ISBLANK('LISTA DE CADASTRO'!$C18),"",'LISTA DE CADASTRO'!$C18)</f>
        <v>17 nome da gestante</v>
      </c>
      <c r="C21" s="65"/>
      <c r="D21" s="77" t="str">
        <f>IF(ISBLANK('LISTA DE CADASTRO'!$J18),"",'LISTA DE CADASTRO'!$J18)</f>
        <v>17 D Nascim</v>
      </c>
      <c r="E21" s="78"/>
    </row>
    <row r="22" spans="1:5" ht="27" customHeight="1" x14ac:dyDescent="0.25">
      <c r="A22" s="75">
        <f t="shared" si="0"/>
        <v>18</v>
      </c>
      <c r="B22" s="76" t="str">
        <f>IF(ISBLANK('LISTA DE CADASTRO'!$C19),"",'LISTA DE CADASTRO'!$C19)</f>
        <v>18 nome da gestante</v>
      </c>
      <c r="C22" s="65"/>
      <c r="D22" s="77" t="str">
        <f>IF(ISBLANK('LISTA DE CADASTRO'!$J19),"",'LISTA DE CADASTRO'!$J19)</f>
        <v>18 D Nascim</v>
      </c>
      <c r="E22" s="78"/>
    </row>
    <row r="23" spans="1:5" ht="27" customHeight="1" x14ac:dyDescent="0.25">
      <c r="A23" s="75">
        <f t="shared" si="0"/>
        <v>19</v>
      </c>
      <c r="B23" s="76" t="str">
        <f>IF(ISBLANK('LISTA DE CADASTRO'!$C20),"",'LISTA DE CADASTRO'!$C20)</f>
        <v>19 nome da gestante</v>
      </c>
      <c r="C23" s="65"/>
      <c r="D23" s="77" t="str">
        <f>IF(ISBLANK('LISTA DE CADASTRO'!$J20),"",'LISTA DE CADASTRO'!$J20)</f>
        <v>19 D Nascim</v>
      </c>
      <c r="E23" s="78"/>
    </row>
    <row r="24" spans="1:5" ht="27" customHeight="1" x14ac:dyDescent="0.25">
      <c r="A24" s="75">
        <f t="shared" si="0"/>
        <v>20</v>
      </c>
      <c r="B24" s="76" t="str">
        <f>IF(ISBLANK('LISTA DE CADASTRO'!$C21),"",'LISTA DE CADASTRO'!$C21)</f>
        <v>20 nome da gestante</v>
      </c>
      <c r="C24" s="65"/>
      <c r="D24" s="77" t="str">
        <f>IF(ISBLANK('LISTA DE CADASTRO'!$J21),"",'LISTA DE CADASTRO'!$J21)</f>
        <v>20 D Nascim</v>
      </c>
      <c r="E24" s="78"/>
    </row>
    <row r="25" spans="1:5" ht="27" customHeight="1" x14ac:dyDescent="0.25">
      <c r="A25" s="75">
        <f t="shared" si="0"/>
        <v>21</v>
      </c>
      <c r="B25" s="76" t="str">
        <f>IF(ISBLANK('LISTA DE CADASTRO'!$C22),"",'LISTA DE CADASTRO'!$C22)</f>
        <v>21 nome da gestante</v>
      </c>
      <c r="C25" s="65"/>
      <c r="D25" s="77" t="str">
        <f>IF(ISBLANK('LISTA DE CADASTRO'!$J22),"",'LISTA DE CADASTRO'!$J22)</f>
        <v>21 D Nascim</v>
      </c>
      <c r="E25" s="78"/>
    </row>
    <row r="26" spans="1:5" ht="27" customHeight="1" x14ac:dyDescent="0.25">
      <c r="A26" s="75">
        <f t="shared" si="0"/>
        <v>22</v>
      </c>
      <c r="B26" s="76" t="str">
        <f>IF(ISBLANK('LISTA DE CADASTRO'!$C23),"",'LISTA DE CADASTRO'!$C23)</f>
        <v>22 nome da gestante</v>
      </c>
      <c r="C26" s="65"/>
      <c r="D26" s="77" t="str">
        <f>IF(ISBLANK('LISTA DE CADASTRO'!$J23),"",'LISTA DE CADASTRO'!$J23)</f>
        <v>22 D Nascim</v>
      </c>
      <c r="E26" s="78"/>
    </row>
    <row r="27" spans="1:5" ht="27" customHeight="1" x14ac:dyDescent="0.25">
      <c r="A27" s="75">
        <f t="shared" si="0"/>
        <v>23</v>
      </c>
      <c r="B27" s="76" t="str">
        <f>IF(ISBLANK('LISTA DE CADASTRO'!$C24),"",'LISTA DE CADASTRO'!$C24)</f>
        <v>23 nome da gestante</v>
      </c>
      <c r="C27" s="65"/>
      <c r="D27" s="77" t="str">
        <f>IF(ISBLANK('LISTA DE CADASTRO'!$J24),"",'LISTA DE CADASTRO'!$J24)</f>
        <v>23 D Nascim</v>
      </c>
      <c r="E27" s="78"/>
    </row>
    <row r="28" spans="1:5" ht="27" customHeight="1" x14ac:dyDescent="0.25">
      <c r="A28" s="75">
        <f t="shared" si="0"/>
        <v>24</v>
      </c>
      <c r="B28" s="76" t="str">
        <f>IF(ISBLANK('LISTA DE CADASTRO'!$C25),"",'LISTA DE CADASTRO'!$C25)</f>
        <v>24 nome da gestante</v>
      </c>
      <c r="C28" s="65"/>
      <c r="D28" s="77" t="str">
        <f>IF(ISBLANK('LISTA DE CADASTRO'!$J25),"",'LISTA DE CADASTRO'!$J25)</f>
        <v>24 D Nascim</v>
      </c>
      <c r="E28" s="78"/>
    </row>
    <row r="29" spans="1:5" ht="27" customHeight="1" x14ac:dyDescent="0.25">
      <c r="A29" s="75">
        <f t="shared" si="0"/>
        <v>25</v>
      </c>
      <c r="B29" s="76" t="str">
        <f>IF(ISBLANK('LISTA DE CADASTRO'!$C26),"",'LISTA DE CADASTRO'!$C26)</f>
        <v>25 nome da gestante</v>
      </c>
      <c r="C29" s="65"/>
      <c r="D29" s="77" t="str">
        <f>IF(ISBLANK('LISTA DE CADASTRO'!$J26),"",'LISTA DE CADASTRO'!$J26)</f>
        <v>25 D Nascim</v>
      </c>
      <c r="E29" s="78"/>
    </row>
    <row r="30" spans="1:5" ht="27" customHeight="1" x14ac:dyDescent="0.25">
      <c r="A30" s="75">
        <f t="shared" si="0"/>
        <v>26</v>
      </c>
      <c r="B30" s="76" t="str">
        <f>IF(ISBLANK('LISTA DE CADASTRO'!$C27),"",'LISTA DE CADASTRO'!$C27)</f>
        <v>26 nome da gestante</v>
      </c>
      <c r="C30" s="65"/>
      <c r="D30" s="77" t="str">
        <f>IF(ISBLANK('LISTA DE CADASTRO'!$J27),"",'LISTA DE CADASTRO'!$J27)</f>
        <v>26 D Nascim</v>
      </c>
      <c r="E30" s="78"/>
    </row>
    <row r="31" spans="1:5" ht="27" customHeight="1" x14ac:dyDescent="0.25">
      <c r="A31" s="75">
        <f t="shared" si="0"/>
        <v>27</v>
      </c>
      <c r="B31" s="76" t="str">
        <f>IF(ISBLANK('LISTA DE CADASTRO'!$C28),"",'LISTA DE CADASTRO'!$C28)</f>
        <v>27 nome da gestante</v>
      </c>
      <c r="C31" s="65"/>
      <c r="D31" s="77" t="str">
        <f>IF(ISBLANK('LISTA DE CADASTRO'!$J28),"",'LISTA DE CADASTRO'!$J28)</f>
        <v>27 D Nascim</v>
      </c>
      <c r="E31" s="78"/>
    </row>
    <row r="32" spans="1:5" ht="27" customHeight="1" x14ac:dyDescent="0.25">
      <c r="A32" s="75">
        <f t="shared" si="0"/>
        <v>28</v>
      </c>
      <c r="B32" s="76" t="str">
        <f>IF(ISBLANK('LISTA DE CADASTRO'!$C29),"",'LISTA DE CADASTRO'!$C29)</f>
        <v>28 nome da gestante</v>
      </c>
      <c r="C32" s="65"/>
      <c r="D32" s="77" t="str">
        <f>IF(ISBLANK('LISTA DE CADASTRO'!$J29),"",'LISTA DE CADASTRO'!$J29)</f>
        <v>28 D Nascim</v>
      </c>
      <c r="E32" s="78"/>
    </row>
    <row r="33" spans="1:5" ht="27" customHeight="1" x14ac:dyDescent="0.25">
      <c r="A33" s="75">
        <f t="shared" si="0"/>
        <v>29</v>
      </c>
      <c r="B33" s="76" t="str">
        <f>IF(ISBLANK('LISTA DE CADASTRO'!$C30),"",'LISTA DE CADASTRO'!$C30)</f>
        <v>29 nome da gestante</v>
      </c>
      <c r="C33" s="65"/>
      <c r="D33" s="77" t="str">
        <f>IF(ISBLANK('LISTA DE CADASTRO'!$J30),"",'LISTA DE CADASTRO'!$J30)</f>
        <v>29 D Nascim</v>
      </c>
      <c r="E33" s="78"/>
    </row>
    <row r="34" spans="1:5" ht="27" customHeight="1" x14ac:dyDescent="0.25">
      <c r="A34" s="75">
        <f t="shared" si="0"/>
        <v>30</v>
      </c>
      <c r="B34" s="76" t="str">
        <f>IF(ISBLANK('LISTA DE CADASTRO'!$C31),"",'LISTA DE CADASTRO'!$C31)</f>
        <v>30 nome da gestante</v>
      </c>
      <c r="C34" s="65"/>
      <c r="D34" s="77" t="str">
        <f>IF(ISBLANK('LISTA DE CADASTRO'!$J31),"",'LISTA DE CADASTRO'!$J31)</f>
        <v>30 D Nascim</v>
      </c>
      <c r="E34" s="78"/>
    </row>
    <row r="35" spans="1:5" ht="27" customHeight="1" x14ac:dyDescent="0.25">
      <c r="A35" s="75">
        <f t="shared" si="0"/>
        <v>31</v>
      </c>
      <c r="B35" s="76" t="str">
        <f>IF(ISBLANK('LISTA DE CADASTRO'!$C32),"",'LISTA DE CADASTRO'!$C32)</f>
        <v>31 nome da gestante</v>
      </c>
      <c r="C35" s="65"/>
      <c r="D35" s="77" t="str">
        <f>IF(ISBLANK('LISTA DE CADASTRO'!$J32),"",'LISTA DE CADASTRO'!$J32)</f>
        <v>31 D Nascim</v>
      </c>
      <c r="E35" s="78"/>
    </row>
    <row r="36" spans="1:5" ht="27" customHeight="1" x14ac:dyDescent="0.25">
      <c r="A36" s="75">
        <f t="shared" si="0"/>
        <v>32</v>
      </c>
      <c r="B36" s="76" t="str">
        <f>IF(ISBLANK('LISTA DE CADASTRO'!$C33),"",'LISTA DE CADASTRO'!$C33)</f>
        <v>32 nome da gestante</v>
      </c>
      <c r="C36" s="65"/>
      <c r="D36" s="77" t="str">
        <f>IF(ISBLANK('LISTA DE CADASTRO'!$J33),"",'LISTA DE CADASTRO'!$J33)</f>
        <v>32 D Nascim</v>
      </c>
      <c r="E36" s="78"/>
    </row>
    <row r="37" spans="1:5" ht="27" customHeight="1" x14ac:dyDescent="0.25">
      <c r="A37" s="75">
        <f t="shared" si="0"/>
        <v>33</v>
      </c>
      <c r="B37" s="76" t="str">
        <f>IF(ISBLANK('LISTA DE CADASTRO'!$C34),"",'LISTA DE CADASTRO'!$C34)</f>
        <v>33 nome da gestante</v>
      </c>
      <c r="C37" s="65"/>
      <c r="D37" s="77" t="str">
        <f>IF(ISBLANK('LISTA DE CADASTRO'!$J34),"",'LISTA DE CADASTRO'!$J34)</f>
        <v>33 D Nascim</v>
      </c>
      <c r="E37" s="78"/>
    </row>
    <row r="38" spans="1:5" ht="27" customHeight="1" x14ac:dyDescent="0.25">
      <c r="A38" s="75">
        <f t="shared" si="0"/>
        <v>34</v>
      </c>
      <c r="B38" s="76" t="str">
        <f>IF(ISBLANK('LISTA DE CADASTRO'!$C35),"",'LISTA DE CADASTRO'!$C35)</f>
        <v>34 nome da gestante</v>
      </c>
      <c r="C38" s="65"/>
      <c r="D38" s="77" t="str">
        <f>IF(ISBLANK('LISTA DE CADASTRO'!$J35),"",'LISTA DE CADASTRO'!$J35)</f>
        <v>34 D Nascim</v>
      </c>
      <c r="E38" s="78"/>
    </row>
    <row r="39" spans="1:5" ht="27" customHeight="1" x14ac:dyDescent="0.25">
      <c r="A39" s="75">
        <f t="shared" si="0"/>
        <v>35</v>
      </c>
      <c r="B39" s="76" t="str">
        <f>IF(ISBLANK('LISTA DE CADASTRO'!$C36),"",'LISTA DE CADASTRO'!$C36)</f>
        <v>35 nome da gestante</v>
      </c>
      <c r="C39" s="65"/>
      <c r="D39" s="77" t="str">
        <f>IF(ISBLANK('LISTA DE CADASTRO'!$J36),"",'LISTA DE CADASTRO'!$J36)</f>
        <v>35 D Nascim</v>
      </c>
      <c r="E39" s="78"/>
    </row>
    <row r="40" spans="1:5" ht="27" customHeight="1" x14ac:dyDescent="0.25">
      <c r="A40" s="75">
        <f t="shared" si="0"/>
        <v>36</v>
      </c>
      <c r="B40" s="76" t="str">
        <f>IF(ISBLANK('LISTA DE CADASTRO'!$C37),"",'LISTA DE CADASTRO'!$C37)</f>
        <v>36 nome da gestante</v>
      </c>
      <c r="C40" s="65"/>
      <c r="D40" s="77" t="str">
        <f>IF(ISBLANK('LISTA DE CADASTRO'!$J37),"",'LISTA DE CADASTRO'!$J37)</f>
        <v>36 D Nascim</v>
      </c>
      <c r="E40" s="78"/>
    </row>
    <row r="41" spans="1:5" ht="27" customHeight="1" x14ac:dyDescent="0.25">
      <c r="A41" s="75">
        <f t="shared" si="0"/>
        <v>37</v>
      </c>
      <c r="B41" s="76" t="str">
        <f>IF(ISBLANK('LISTA DE CADASTRO'!$C38),"",'LISTA DE CADASTRO'!$C38)</f>
        <v>37 nome da gestante</v>
      </c>
      <c r="C41" s="65"/>
      <c r="D41" s="77" t="str">
        <f>IF(ISBLANK('LISTA DE CADASTRO'!$J38),"",'LISTA DE CADASTRO'!$J38)</f>
        <v>37 D Nascim</v>
      </c>
      <c r="E41" s="78"/>
    </row>
    <row r="42" spans="1:5" ht="27" customHeight="1" x14ac:dyDescent="0.25">
      <c r="A42" s="75">
        <f t="shared" si="0"/>
        <v>38</v>
      </c>
      <c r="B42" s="76" t="str">
        <f>IF(ISBLANK('LISTA DE CADASTRO'!$C39),"",'LISTA DE CADASTRO'!$C39)</f>
        <v>38 nome da gestante</v>
      </c>
      <c r="C42" s="65"/>
      <c r="D42" s="77" t="str">
        <f>IF(ISBLANK('LISTA DE CADASTRO'!$J39),"",'LISTA DE CADASTRO'!$J39)</f>
        <v>38 D Nascim</v>
      </c>
      <c r="E42" s="78"/>
    </row>
    <row r="43" spans="1:5" ht="27" customHeight="1" x14ac:dyDescent="0.25">
      <c r="A43" s="75">
        <f t="shared" si="0"/>
        <v>39</v>
      </c>
      <c r="B43" s="76" t="str">
        <f>IF(ISBLANK('LISTA DE CADASTRO'!$C40),"",'LISTA DE CADASTRO'!$C40)</f>
        <v>39 nome da gestante</v>
      </c>
      <c r="C43" s="65"/>
      <c r="D43" s="77" t="str">
        <f>IF(ISBLANK('LISTA DE CADASTRO'!$J40),"",'LISTA DE CADASTRO'!$J40)</f>
        <v>39 D Nascim</v>
      </c>
      <c r="E43" s="78"/>
    </row>
    <row r="44" spans="1:5" ht="27" customHeight="1" thickBot="1" x14ac:dyDescent="0.3">
      <c r="A44" s="88">
        <f t="shared" si="0"/>
        <v>40</v>
      </c>
      <c r="B44" s="89" t="e">
        <f>IF(ISBLANK('LISTA DE CADASTRO'!#REF!),"",'LISTA DE CADASTRO'!#REF!)</f>
        <v>#REF!</v>
      </c>
      <c r="C44" s="80"/>
      <c r="D44" s="90" t="e">
        <f>IF(ISBLANK('LISTA DE CADASTRO'!#REF!),"",'LISTA DE CADASTRO'!#REF!)</f>
        <v>#REF!</v>
      </c>
      <c r="E44" s="81"/>
    </row>
    <row r="45" spans="1:5" x14ac:dyDescent="0.25">
      <c r="B45"/>
      <c r="C45"/>
    </row>
    <row r="46" spans="1:5" x14ac:dyDescent="0.25">
      <c r="B46"/>
      <c r="C46"/>
    </row>
    <row r="47" spans="1:5" x14ac:dyDescent="0.25">
      <c r="B47"/>
      <c r="C47"/>
    </row>
    <row r="48" spans="1:5" x14ac:dyDescent="0.25">
      <c r="B48"/>
      <c r="C48"/>
    </row>
    <row r="49" spans="2:3" x14ac:dyDescent="0.25">
      <c r="B49"/>
      <c r="C49"/>
    </row>
    <row r="50" spans="2:3" x14ac:dyDescent="0.25">
      <c r="B50"/>
      <c r="C50"/>
    </row>
  </sheetData>
  <mergeCells count="1">
    <mergeCell ref="B4:C4"/>
  </mergeCells>
  <conditionalFormatting sqref="D5:E44">
    <cfRule type="notContainsBlanks" dxfId="0" priority="1">
      <formula>LEN(TRIM(D5))&gt;0</formula>
    </cfRule>
  </conditionalFormatting>
  <printOptions horizontalCentered="1"/>
  <pageMargins left="0.31496062992125984" right="0.31496062992125984" top="0.39370078740157483" bottom="0.39370078740157483" header="0.31496062992125984" footer="0.31496062992125984"/>
  <pageSetup paperSize="9" orientation="landscape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7</vt:i4>
      </vt:variant>
    </vt:vector>
  </HeadingPairs>
  <TitlesOfParts>
    <vt:vector size="12" baseType="lpstr">
      <vt:lpstr>LISTA GESTANTE DO GOOGLE FORMS</vt:lpstr>
      <vt:lpstr>LISTA DE CADASTRO</vt:lpstr>
      <vt:lpstr>FIXA DE CADASTRO AUTOMÁTICA</vt:lpstr>
      <vt:lpstr>LISTA DE PRESENÇA</vt:lpstr>
      <vt:lpstr>LISTA DE PRESENÇA PARA ASSINAR</vt:lpstr>
      <vt:lpstr>'FIXA DE CADASTRO AUTOMÁTICA'!Area_de_impressao</vt:lpstr>
      <vt:lpstr>'LISTA DE CADASTRO'!Area_de_impressao</vt:lpstr>
      <vt:lpstr>'LISTA DE PRESENÇA'!Area_de_impressao</vt:lpstr>
      <vt:lpstr>'LISTA DE PRESENÇA PARA ASSINAR'!Area_de_impressao</vt:lpstr>
      <vt:lpstr>'LISTA DE CADASTRO'!Titulos_de_impressao</vt:lpstr>
      <vt:lpstr>'LISTA DE PRESENÇA'!Titulos_de_impressao</vt:lpstr>
      <vt:lpstr>'LISTA DE PRESENÇA PARA ASSINAR'!Titulos_de_impressao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</dc:creator>
  <cp:lastModifiedBy>Aguinelina Gomes</cp:lastModifiedBy>
  <cp:lastPrinted>2026-06-29T14:26:34Z</cp:lastPrinted>
  <dcterms:created xsi:type="dcterms:W3CDTF">2025-05-27T00:40:31Z</dcterms:created>
  <dcterms:modified xsi:type="dcterms:W3CDTF">2026-06-29T14:27:56Z</dcterms:modified>
</cp:coreProperties>
</file>